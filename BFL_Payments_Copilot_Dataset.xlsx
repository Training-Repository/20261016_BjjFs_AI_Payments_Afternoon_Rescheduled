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ption Log" sheetId="1" state="visible" r:id="rId3"/>
    <sheet name="Mandate Register" sheetId="2" state="visible" r:id="rId4"/>
    <sheet name="Payments Performance" sheetId="3" state="visible" r:id="rId5"/>
    <sheet name="Reconciliation Tracker" sheetId="4" state="visible" r:id="rId6"/>
    <sheet name="Chargeback Register" sheetId="5" state="visible" r:id="rId7"/>
    <sheet name="Partner SLA Track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<sst xmlns="http://schemas.openxmlformats.org/spreadsheetml/2006/main" count="553" uniqueCount="280">
  <si>
    <t xml:space="preserve">BFL Payments Operations — Failed / Disputed Transaction Exception Log</t>
  </si>
  <si>
    <t xml:space="preserve">Source: Payments Ops case tool | Sample of 20 exceptions logged 1–29 Sep 2026 | TAT Days for open cases counted to 30 Sep 2026 | Synthetic training data</t>
  </si>
  <si>
    <t xml:space="preserve">Exception ID</t>
  </si>
  <si>
    <t xml:space="preserve">Reported Date</t>
  </si>
  <si>
    <t xml:space="preserve">Customer Name</t>
  </si>
  <si>
    <t xml:space="preserve">Channel</t>
  </si>
  <si>
    <t xml:space="preserve">Partner</t>
  </si>
  <si>
    <t xml:space="preserve">Amount (₹)</t>
  </si>
  <si>
    <t xml:space="preserve">Exception Type</t>
  </si>
  <si>
    <t xml:space="preserve">Status</t>
  </si>
  <si>
    <t xml:space="preserve">Resolved Date</t>
  </si>
  <si>
    <t xml:space="preserve">Allowed TAT (days)</t>
  </si>
  <si>
    <t xml:space="preserve">TAT Days</t>
  </si>
  <si>
    <t xml:space="preserve">Customer Complaint</t>
  </si>
  <si>
    <t xml:space="preserve">Root Cause</t>
  </si>
  <si>
    <t xml:space="preserve">PEX-26091</t>
  </si>
  <si>
    <t xml:space="preserve">Aarav Kulkarni</t>
  </si>
  <si>
    <t xml:space="preserve">UPI</t>
  </si>
  <si>
    <t xml:space="preserve">NovaPay UPI Switch</t>
  </si>
  <si>
    <t xml:space="preserve">Debited, not credited</t>
  </si>
  <si>
    <t xml:space="preserve">Resolved</t>
  </si>
  <si>
    <t xml:space="preserve">No</t>
  </si>
  <si>
    <t xml:space="preserve">Timeout at beneficiary bank; auto-reversed</t>
  </si>
  <si>
    <t xml:space="preserve">PEX-26098</t>
  </si>
  <si>
    <t xml:space="preserve">Ishita Rane</t>
  </si>
  <si>
    <t xml:space="preserve">e-NACH</t>
  </si>
  <si>
    <t xml:space="preserve">ClearMandate NACH Services</t>
  </si>
  <si>
    <t xml:space="preserve">Debit after mandate revoked</t>
  </si>
  <si>
    <t xml:space="preserve">Yes</t>
  </si>
  <si>
    <t xml:space="preserve">Revocation not updated in mandate file</t>
  </si>
  <si>
    <t xml:space="preserve">PEX-26105</t>
  </si>
  <si>
    <t xml:space="preserve">Manoj Pillai</t>
  </si>
  <si>
    <t xml:space="preserve">Card (PG)</t>
  </si>
  <si>
    <t xml:space="preserve">Sahyog Payment Gateway</t>
  </si>
  <si>
    <t xml:space="preserve">Debited, not confirmed</t>
  </si>
  <si>
    <t xml:space="preserve">PG callback failed; manual confirmation</t>
  </si>
  <si>
    <t xml:space="preserve">PEX-26112</t>
  </si>
  <si>
    <t xml:space="preserve">Sneha Gokhale</t>
  </si>
  <si>
    <t xml:space="preserve">Open</t>
  </si>
  <si>
    <t xml:space="preserve">Pending with PSP bank; RRN mismatch</t>
  </si>
  <si>
    <t xml:space="preserve">PEX-26119</t>
  </si>
  <si>
    <t xml:space="preserve">Rahul Bhonsle</t>
  </si>
  <si>
    <t xml:space="preserve">Net Banking</t>
  </si>
  <si>
    <t xml:space="preserve">NetSettle Aggregator</t>
  </si>
  <si>
    <t xml:space="preserve">Aggregator status update delayed</t>
  </si>
  <si>
    <t xml:space="preserve">PEX-26126</t>
  </si>
  <si>
    <t xml:space="preserve">Divya Menon</t>
  </si>
  <si>
    <t xml:space="preserve">Duplicate debit</t>
  </si>
  <si>
    <t xml:space="preserve">File re-presented twice by sponsor bank</t>
  </si>
  <si>
    <t xml:space="preserve">PEX-26133</t>
  </si>
  <si>
    <t xml:space="preserve">Kunal Shah</t>
  </si>
  <si>
    <t xml:space="preserve">EMI Refund</t>
  </si>
  <si>
    <t xml:space="preserve">In-house</t>
  </si>
  <si>
    <t xml:space="preserve">Excess EMI refund pending</t>
  </si>
  <si>
    <t xml:space="preserve">Foreclosure refund awaiting bank details</t>
  </si>
  <si>
    <t xml:space="preserve">PEX-26140</t>
  </si>
  <si>
    <t xml:space="preserve">Tanvi Deshpande</t>
  </si>
  <si>
    <t xml:space="preserve">Timeout; auto-reversed</t>
  </si>
  <si>
    <t xml:space="preserve">PEX-26147</t>
  </si>
  <si>
    <t xml:space="preserve">Prakash Jadhav</t>
  </si>
  <si>
    <t xml:space="preserve">BBPS</t>
  </si>
  <si>
    <t xml:space="preserve">BillLink BBPS Services</t>
  </si>
  <si>
    <t xml:space="preserve">Bill payment not updated</t>
  </si>
  <si>
    <t xml:space="preserve">Biller confirmation delayed</t>
  </si>
  <si>
    <t xml:space="preserve">PEX-26154</t>
  </si>
  <si>
    <t xml:space="preserve">Nisha Agarwal</t>
  </si>
  <si>
    <t xml:space="preserve">Settlement file missed the transaction</t>
  </si>
  <si>
    <t xml:space="preserve">PEX-26161</t>
  </si>
  <si>
    <t xml:space="preserve">Sameer Khan</t>
  </si>
  <si>
    <t xml:space="preserve">Wallet</t>
  </si>
  <si>
    <t xml:space="preserve">Refund not credited</t>
  </si>
  <si>
    <t xml:space="preserve">Wallet credit retried</t>
  </si>
  <si>
    <t xml:space="preserve">PEX-26168</t>
  </si>
  <si>
    <t xml:space="preserve">Pallavi Chavan</t>
  </si>
  <si>
    <t xml:space="preserve">Duplicate presentation; reversal requested</t>
  </si>
  <si>
    <t xml:space="preserve">PEX-26175</t>
  </si>
  <si>
    <t xml:space="preserve">Amol Patwardhan</t>
  </si>
  <si>
    <t xml:space="preserve">Under investigation with NPCI</t>
  </si>
  <si>
    <t xml:space="preserve">PEX-26182</t>
  </si>
  <si>
    <t xml:space="preserve">Ritu Saxena</t>
  </si>
  <si>
    <t xml:space="preserve">Aggregator outage on 10 Sep</t>
  </si>
  <si>
    <t xml:space="preserve">PEX-26189</t>
  </si>
  <si>
    <t xml:space="preserve">Yash Thakur</t>
  </si>
  <si>
    <t xml:space="preserve">Refund processed via NEFT</t>
  </si>
  <si>
    <t xml:space="preserve">PEX-26196</t>
  </si>
  <si>
    <t xml:space="preserve">Meera Iyer</t>
  </si>
  <si>
    <t xml:space="preserve">Under review with PG; chargeback risk</t>
  </si>
  <si>
    <t xml:space="preserve">PEX-26203</t>
  </si>
  <si>
    <t xml:space="preserve">Omkar Sathe</t>
  </si>
  <si>
    <t xml:space="preserve">Biller confirmation received</t>
  </si>
  <si>
    <t xml:space="preserve">PEX-26210</t>
  </si>
  <si>
    <t xml:space="preserve">Fatima Sheikh</t>
  </si>
  <si>
    <t xml:space="preserve">PEX-26217</t>
  </si>
  <si>
    <t xml:space="preserve">Varun Kapoor</t>
  </si>
  <si>
    <t xml:space="preserve">Revocation received after file cut-off</t>
  </si>
  <si>
    <t xml:space="preserve">PEX-26224</t>
  </si>
  <si>
    <t xml:space="preserve">Swara Bhat</t>
  </si>
  <si>
    <t xml:space="preserve">Wallet partner reconciliation delay</t>
  </si>
  <si>
    <t xml:space="preserve">BFL Payments Operations — EMI Mandate Register</t>
  </si>
  <si>
    <t xml:space="preserve">Snapshot as of 30 Sep 2026 | Presentations and bounces for Jul–Sep 2026 | Synthetic training data</t>
  </si>
  <si>
    <t xml:space="preserve">Mandate ID</t>
  </si>
  <si>
    <t xml:space="preserve">Product</t>
  </si>
  <si>
    <t xml:space="preserve">Mode</t>
  </si>
  <si>
    <t xml:space="preserve">Customer Bank</t>
  </si>
  <si>
    <t xml:space="preserve">Registration Status</t>
  </si>
  <si>
    <t xml:space="preserve">Rejection Reason</t>
  </si>
  <si>
    <t xml:space="preserve">EMI (₹)</t>
  </si>
  <si>
    <t xml:space="preserve">Presentations (Jul–Sep)</t>
  </si>
  <si>
    <t xml:space="preserve">Bounces (Jul–Sep)</t>
  </si>
  <si>
    <t xml:space="preserve">Bounce Rate %</t>
  </si>
  <si>
    <t xml:space="preserve">Action Required</t>
  </si>
  <si>
    <t xml:space="preserve">MND-50112</t>
  </si>
  <si>
    <t xml:space="preserve">Personal Loan</t>
  </si>
  <si>
    <t xml:space="preserve">e-NACH (Net Banking)</t>
  </si>
  <si>
    <t xml:space="preserve">HDFC Bank</t>
  </si>
  <si>
    <t xml:space="preserve">Registered</t>
  </si>
  <si>
    <t xml:space="preserve">No action</t>
  </si>
  <si>
    <t xml:space="preserve">MND-50127</t>
  </si>
  <si>
    <t xml:space="preserve">Consumer Durable</t>
  </si>
  <si>
    <t xml:space="preserve">Physical NACH</t>
  </si>
  <si>
    <t xml:space="preserve">SBI</t>
  </si>
  <si>
    <t xml:space="preserve">Service call: confirm funds and debit date</t>
  </si>
  <si>
    <t xml:space="preserve">MND-50139</t>
  </si>
  <si>
    <t xml:space="preserve">Digital Product</t>
  </si>
  <si>
    <t xml:space="preserve">UPI AutoPay</t>
  </si>
  <si>
    <t xml:space="preserve">ICICI Bank</t>
  </si>
  <si>
    <t xml:space="preserve">MND-50144</t>
  </si>
  <si>
    <t xml:space="preserve">Two-Wheeler</t>
  </si>
  <si>
    <t xml:space="preserve">Bank of Baroda</t>
  </si>
  <si>
    <t xml:space="preserve">Rejected</t>
  </si>
  <si>
    <t xml:space="preserve">Signature mismatch</t>
  </si>
  <si>
    <t xml:space="preserve">Re-initiate via e-NACH or UPI AutoPay within 7 days</t>
  </si>
  <si>
    <t xml:space="preserve">MND-50158</t>
  </si>
  <si>
    <t xml:space="preserve">Lifestyle Finance</t>
  </si>
  <si>
    <t xml:space="preserve">e-NACH (Debit Card)</t>
  </si>
  <si>
    <t xml:space="preserve">Kotak Mahindra Bank</t>
  </si>
  <si>
    <t xml:space="preserve">MND-50163</t>
  </si>
  <si>
    <t xml:space="preserve">e-NACH (Aadhaar)</t>
  </si>
  <si>
    <t xml:space="preserve">Canara Bank</t>
  </si>
  <si>
    <t xml:space="preserve">Pending</t>
  </si>
  <si>
    <t xml:space="preserve">Follow up on pending registration</t>
  </si>
  <si>
    <t xml:space="preserve">MND-50171</t>
  </si>
  <si>
    <t xml:space="preserve">Axis Bank</t>
  </si>
  <si>
    <t xml:space="preserve">MND-50186</t>
  </si>
  <si>
    <t xml:space="preserve">MND-50192</t>
  </si>
  <si>
    <t xml:space="preserve">Bank of India</t>
  </si>
  <si>
    <t xml:space="preserve">Account closed</t>
  </si>
  <si>
    <t xml:space="preserve">MND-50205</t>
  </si>
  <si>
    <t xml:space="preserve">MND-50218</t>
  </si>
  <si>
    <t xml:space="preserve">Paytm Payments Bank</t>
  </si>
  <si>
    <t xml:space="preserve">Customer did not authorise (timeout)</t>
  </si>
  <si>
    <t xml:space="preserve">MND-50224</t>
  </si>
  <si>
    <t xml:space="preserve">MND-50233</t>
  </si>
  <si>
    <t xml:space="preserve">Union Bank of India</t>
  </si>
  <si>
    <t xml:space="preserve">MND-50247</t>
  </si>
  <si>
    <t xml:space="preserve">MND-50251</t>
  </si>
  <si>
    <t xml:space="preserve">Punjab National Bank</t>
  </si>
  <si>
    <t xml:space="preserve">Invalid account details</t>
  </si>
  <si>
    <t xml:space="preserve">MND-50268</t>
  </si>
  <si>
    <t xml:space="preserve">MND-50272</t>
  </si>
  <si>
    <t xml:space="preserve">MND-50289</t>
  </si>
  <si>
    <t xml:space="preserve">IDBI Bank</t>
  </si>
  <si>
    <t xml:space="preserve">MND-50293</t>
  </si>
  <si>
    <t xml:space="preserve">Revoked by customer</t>
  </si>
  <si>
    <t xml:space="preserve">Stop presentation; confirm alternate payment mode</t>
  </si>
  <si>
    <t xml:space="preserve">MND-50306</t>
  </si>
  <si>
    <t xml:space="preserve">BFL Payments Operations — Monthly Performance Dashboard</t>
  </si>
  <si>
    <t xml:space="preserve">Period: Apr–Sep 2026 (H1 FY2026-27) | Targets: Success Rate 98.5% · Auto-reversal within TAT 98% · Chargeback Win 65% · Complaints ≤ 150/month · Unreconciled value: see Reconciliation Tracker | Synthetic training data</t>
  </si>
  <si>
    <t xml:space="preserve">Month</t>
  </si>
  <si>
    <t xml:space="preserve">Transactions (lakh)</t>
  </si>
  <si>
    <t xml:space="preserve">Value Processed (₹ Cr)</t>
  </si>
  <si>
    <t xml:space="preserve">Overall Success Rate %</t>
  </si>
  <si>
    <t xml:space="preserve">NACH Presentation Success %</t>
  </si>
  <si>
    <t xml:space="preserve">UPI Success Rate %</t>
  </si>
  <si>
    <t xml:space="preserve">Failed Transactions</t>
  </si>
  <si>
    <t xml:space="preserve">Auto-reversal within TAT %</t>
  </si>
  <si>
    <t xml:space="preserve">Avg Refund TAT (days)</t>
  </si>
  <si>
    <t xml:space="preserve">Chargebacks Received</t>
  </si>
  <si>
    <t xml:space="preserve">Chargeback Win %</t>
  </si>
  <si>
    <t xml:space="preserve">Recon Breaks (15th + month-end cycles)</t>
  </si>
  <si>
    <t xml:space="preserve">Unreconciled Value at Month-end (₹ lakh)</t>
  </si>
  <si>
    <t xml:space="preserve">Customer Complaints</t>
  </si>
  <si>
    <t xml:space="preserve">Compensation Paid (₹)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</si>
  <si>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</si>
  <si>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</si>
  <si>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</si>
  <si>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</si>
  <si>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</si>
  <si>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</si>
  <si>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H1 Avg</t>
  </si>
  <si>
    <t xml:space="preserve">BFL Payments Operations — Partner Reconciliation Tracker</t>
  </si>
  <si>
    <t xml:space="preserve">Cycles: 15 Sep (now closed) and 30 Sep 2026 | Breaks = Ledger Txns − Matched Txns | Escalation limit: ₹10 lakh unreconciled per partner per cycle | Synthetic training data</t>
  </si>
  <si>
    <t xml:space="preserve">Recon Cycle</t>
  </si>
  <si>
    <t xml:space="preserve">Ledger Txns</t>
  </si>
  <si>
    <t xml:space="preserve">Partner File Txns</t>
  </si>
  <si>
    <t xml:space="preserve">Matched Txns</t>
  </si>
  <si>
    <t xml:space="preserve">Breaks</t>
  </si>
  <si>
    <t xml:space="preserve">Break Value (₹ lakh)</t>
  </si>
  <si>
    <t xml:space="preserve">Breaks Aged &gt; 3 Days</t>
  </si>
  <si>
    <t xml:space="preserve">Primary Root Cause</t>
  </si>
  <si>
    <t xml:space="preserve">Owner</t>
  </si>
  <si>
    <t xml:space="preserve">Timeout transactions in next-day file</t>
  </si>
  <si>
    <t xml:space="preserve">Neha Kulkarni</t>
  </si>
  <si>
    <t xml:space="preserve">Closed</t>
  </si>
  <si>
    <t xml:space="preserve">Refunds missing from settlement file</t>
  </si>
  <si>
    <t xml:space="preserve">Kavya Iyer</t>
  </si>
  <si>
    <t xml:space="preserve">Return codes received late</t>
  </si>
  <si>
    <t xml:space="preserve">Arjun Mehta</t>
  </si>
  <si>
    <t xml:space="preserve">Biller confirmation lag</t>
  </si>
  <si>
    <t xml:space="preserve">Sneha Joshi</t>
  </si>
  <si>
    <t xml:space="preserve">Status update delayed by aggregator</t>
  </si>
  <si>
    <t xml:space="preserve">Switch outage 27–28 Sep; late settlement file</t>
  </si>
  <si>
    <t xml:space="preserve">Escalated</t>
  </si>
  <si>
    <t xml:space="preserve">BFL Payments Operations — Chargeback &amp; Dispute Register</t>
  </si>
  <si>
    <t xml:space="preserve">Sample of 12 cases received Aug–Sep 2026 | Days to Due counted from 30 Sep 2026 (negative = past due) | Synthetic training data</t>
  </si>
  <si>
    <t xml:space="preserve">Case ID</t>
  </si>
  <si>
    <t xml:space="preserve">Network</t>
  </si>
  <si>
    <t xml:space="preserve">Transaction Date</t>
  </si>
  <si>
    <t xml:space="preserve">Reason</t>
  </si>
  <si>
    <t xml:space="preserve">Received Date</t>
  </si>
  <si>
    <t xml:space="preserve">Response Due Date</t>
  </si>
  <si>
    <t xml:space="preserve">Days to Due (from 30 Sep)</t>
  </si>
  <si>
    <t xml:space="preserve">Evidence Status</t>
  </si>
  <si>
    <t xml:space="preserve">Outcome</t>
  </si>
  <si>
    <t xml:space="preserve">CB-7712</t>
  </si>
  <si>
    <t xml:space="preserve">Visa</t>
  </si>
  <si>
    <t xml:space="preserve">Goods/services not received</t>
  </si>
  <si>
    <t xml:space="preserve">Partial</t>
  </si>
  <si>
    <t xml:space="preserve">CB-7715</t>
  </si>
  <si>
    <t xml:space="preserve">RuPay</t>
  </si>
  <si>
    <t xml:space="preserve">Nikhil Rao</t>
  </si>
  <si>
    <t xml:space="preserve">Duplicate processing</t>
  </si>
  <si>
    <t xml:space="preserve">Complete</t>
  </si>
  <si>
    <t xml:space="preserve">CB-7719</t>
  </si>
  <si>
    <t xml:space="preserve">Mastercard</t>
  </si>
  <si>
    <t xml:space="preserve">Rohan Kale</t>
  </si>
  <si>
    <t xml:space="preserve">Cancelled transaction</t>
  </si>
  <si>
    <t xml:space="preserve">CB-7724</t>
  </si>
  <si>
    <t xml:space="preserve">Anjali Deo</t>
  </si>
  <si>
    <t xml:space="preserve">Fraud — card not present</t>
  </si>
  <si>
    <t xml:space="preserve">Won</t>
  </si>
  <si>
    <t xml:space="preserve">CB-7726</t>
  </si>
  <si>
    <t xml:space="preserve">Credit not processed</t>
  </si>
  <si>
    <t xml:space="preserve">Not started</t>
  </si>
  <si>
    <t xml:space="preserve">CB-7731</t>
  </si>
  <si>
    <t xml:space="preserve">Priyanka Bose</t>
  </si>
  <si>
    <t xml:space="preserve">Lost</t>
  </si>
  <si>
    <t xml:space="preserve">CB-7733</t>
  </si>
  <si>
    <t xml:space="preserve">Vikas Gore</t>
  </si>
  <si>
    <t xml:space="preserve">Amount differs</t>
  </si>
  <si>
    <t xml:space="preserve">CB-7738</t>
  </si>
  <si>
    <t xml:space="preserve">Kirti Malhotra</t>
  </si>
  <si>
    <t xml:space="preserve">CB-7740</t>
  </si>
  <si>
    <t xml:space="preserve">Rakesh Nair</t>
  </si>
  <si>
    <t xml:space="preserve">CB-7744</t>
  </si>
  <si>
    <t xml:space="preserve">Neelam Joshi</t>
  </si>
  <si>
    <t xml:space="preserve">CB-7747</t>
  </si>
  <si>
    <t xml:space="preserve">Ajay Rawat</t>
  </si>
  <si>
    <t xml:space="preserve">CB-7751</t>
  </si>
  <si>
    <t xml:space="preserve">Shalini Verma</t>
  </si>
  <si>
    <t xml:space="preserve">BFL Payments Operations — Payment Partner SLA Tracker</t>
  </si>
  <si>
    <t xml:space="preserve">Period: Sep 2026 | Partner names are fictional | SLA Status = Breached if uptime &lt; 99.9% or settlement adherence &lt; 99.0% | Synthetic training data</t>
  </si>
  <si>
    <t xml:space="preserve">Service</t>
  </si>
  <si>
    <t xml:space="preserve">Uptime % (target 99.9)</t>
  </si>
  <si>
    <t xml:space="preserve">Success Rate %</t>
  </si>
  <si>
    <t xml:space="preserve">Settlement T+1 Adherence % (target 99.0)</t>
  </si>
  <si>
    <t xml:space="preserve">Incidents (Sep)</t>
  </si>
  <si>
    <t xml:space="preserve">Longest Outage (mins)</t>
  </si>
  <si>
    <t xml:space="preserve">RCA Received?</t>
  </si>
  <si>
    <t xml:space="preserve">SLA Breaches (Jul–Sep)</t>
  </si>
  <si>
    <t xml:space="preserve">SLA Status</t>
  </si>
  <si>
    <t xml:space="preserve">Contract Renewal</t>
  </si>
  <si>
    <t xml:space="preserve">UPI &amp; wallet switching</t>
  </si>
  <si>
    <t xml:space="preserve">Breached</t>
  </si>
  <si>
    <t xml:space="preserve">Card payment gateway</t>
  </si>
  <si>
    <t xml:space="preserve">e-NACH sponsor services</t>
  </si>
  <si>
    <t xml:space="preserve">—</t>
  </si>
  <si>
    <t xml:space="preserve">Met</t>
  </si>
  <si>
    <t xml:space="preserve">BBPS biller operating unit</t>
  </si>
  <si>
    <t xml:space="preserve">Net banking aggregation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</si>
</sst>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 mmm\ yyyy"/>
    <numFmt numFmtId="166" formatCode="#,##0"/>
    <numFmt numFmtId="167" formatCode="0"/>
    <numFmt numFmtId="168" formatCode="0.0"/>
    <numFmt numFmtId="169" formatCode="#,##0.0"/>
    <numFmt numFmtId="170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27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4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v>46286</v>
      </c>
      <c r="C5" s="4" t="s">
        <v>16</v>
      </c>
      <c r="D5" s="4" t="s">
        <v>17</v>
      </c>
      <c r="E5" s="4" t="s">
        <v>18</v>
      </c>
      <c r="F5" s="6" t="n">
        <v>6200</v>
      </c>
      <c r="G5" s="4" t="s">
        <v>19</v>
      </c>
      <c r="H5" s="4" t="s">
        <v>20</v>
      </c>
      <c r="I5" s="5" t="n">
        <v>46287</v>
      </c>
      <c r="J5" s="7" t="n">
        <v>1</v>
      </c>
      <c r="K5" s="7" t="n">
        <f aca="false">IF(I5="",DATE(2026,9,30)-B5,I5-B5)</f>
        <v>1</v>
      </c>
      <c r="L5" s="4" t="s">
        <v>21</v>
      </c>
      <c r="M5" s="4" t="s">
        <v>22</v>
      </c>
    </row>
    <row r="6" customFormat="false" ht="15" hidden="false" customHeight="false" outlineLevel="0" collapsed="false">
      <c r="A6" s="8" t="s">
        <v>23</v>
      </c>
      <c r="B6" s="9" t="n">
        <v>46283</v>
      </c>
      <c r="C6" s="8" t="s">
        <v>24</v>
      </c>
      <c r="D6" s="8" t="s">
        <v>25</v>
      </c>
      <c r="E6" s="8" t="s">
        <v>26</v>
      </c>
      <c r="F6" s="10" t="n">
        <v>2450</v>
      </c>
      <c r="G6" s="8" t="s">
        <v>27</v>
      </c>
      <c r="H6" s="8" t="s">
        <v>20</v>
      </c>
      <c r="I6" s="9" t="n">
        <v>46288</v>
      </c>
      <c r="J6" s="11" t="n">
        <v>1</v>
      </c>
      <c r="K6" s="11" t="n">
        <f aca="false">IF(I6="",DATE(2026,9,30)-B6,I6-B6)</f>
        <v>5</v>
      </c>
      <c r="L6" s="8" t="s">
        <v>28</v>
      </c>
      <c r="M6" s="8" t="s">
        <v>29</v>
      </c>
    </row>
    <row r="7" customFormat="false" ht="15" hidden="false" customHeight="false" outlineLevel="0" collapsed="false">
      <c r="A7" s="4" t="s">
        <v>30</v>
      </c>
      <c r="B7" s="5" t="n">
        <v>46277</v>
      </c>
      <c r="C7" s="4" t="s">
        <v>31</v>
      </c>
      <c r="D7" s="4" t="s">
        <v>32</v>
      </c>
      <c r="E7" s="4" t="s">
        <v>33</v>
      </c>
      <c r="F7" s="6" t="n">
        <v>15499</v>
      </c>
      <c r="G7" s="4" t="s">
        <v>34</v>
      </c>
      <c r="H7" s="4" t="s">
        <v>20</v>
      </c>
      <c r="I7" s="5" t="n">
        <v>46281</v>
      </c>
      <c r="J7" s="7" t="n">
        <v>5</v>
      </c>
      <c r="K7" s="7" t="n">
        <f aca="false">IF(I7="",DATE(2026,9,30)-B7,I7-B7)</f>
        <v>4</v>
      </c>
      <c r="L7" s="4" t="s">
        <v>21</v>
      </c>
      <c r="M7" s="4" t="s">
        <v>35</v>
      </c>
    </row>
    <row r="8" customFormat="false" ht="15" hidden="false" customHeight="false" outlineLevel="0" collapsed="false">
      <c r="A8" s="8" t="s">
        <v>36</v>
      </c>
      <c r="B8" s="9" t="n">
        <v>46290</v>
      </c>
      <c r="C8" s="8" t="s">
        <v>37</v>
      </c>
      <c r="D8" s="8" t="s">
        <v>17</v>
      </c>
      <c r="E8" s="8" t="s">
        <v>18</v>
      </c>
      <c r="F8" s="10" t="n">
        <v>2900</v>
      </c>
      <c r="G8" s="8" t="s">
        <v>19</v>
      </c>
      <c r="H8" s="8" t="s">
        <v>38</v>
      </c>
      <c r="I8" s="9"/>
      <c r="J8" s="11" t="n">
        <v>1</v>
      </c>
      <c r="K8" s="11" t="n">
        <f aca="false">IF(I8="",DATE(2026,9,30)-B8,I8-B8)</f>
        <v>5</v>
      </c>
      <c r="L8" s="8" t="s">
        <v>28</v>
      </c>
      <c r="M8" s="8" t="s">
        <v>39</v>
      </c>
    </row>
    <row r="9" customFormat="false" ht="15" hidden="false" customHeight="false" outlineLevel="0" collapsed="false">
      <c r="A9" s="4" t="s">
        <v>40</v>
      </c>
      <c r="B9" s="5" t="n">
        <v>46285</v>
      </c>
      <c r="C9" s="4" t="s">
        <v>41</v>
      </c>
      <c r="D9" s="4" t="s">
        <v>42</v>
      </c>
      <c r="E9" s="4" t="s">
        <v>43</v>
      </c>
      <c r="F9" s="6" t="n">
        <v>4800</v>
      </c>
      <c r="G9" s="4" t="s">
        <v>34</v>
      </c>
      <c r="H9" s="4" t="s">
        <v>20</v>
      </c>
      <c r="I9" s="5" t="n">
        <v>46286</v>
      </c>
      <c r="J9" s="7" t="n">
        <v>2</v>
      </c>
      <c r="K9" s="7" t="n">
        <f aca="false">IF(I9="",DATE(2026,9,30)-B9,I9-B9)</f>
        <v>1</v>
      </c>
      <c r="L9" s="4" t="s">
        <v>21</v>
      </c>
      <c r="M9" s="4" t="s">
        <v>44</v>
      </c>
    </row>
    <row r="10" customFormat="false" ht="15" hidden="false" customHeight="false" outlineLevel="0" collapsed="false">
      <c r="A10" s="8" t="s">
        <v>45</v>
      </c>
      <c r="B10" s="9" t="n">
        <v>46273</v>
      </c>
      <c r="C10" s="8" t="s">
        <v>46</v>
      </c>
      <c r="D10" s="8" t="s">
        <v>25</v>
      </c>
      <c r="E10" s="8" t="s">
        <v>26</v>
      </c>
      <c r="F10" s="10" t="n">
        <v>1950</v>
      </c>
      <c r="G10" s="8" t="s">
        <v>47</v>
      </c>
      <c r="H10" s="8" t="s">
        <v>20</v>
      </c>
      <c r="I10" s="9" t="n">
        <v>46275</v>
      </c>
      <c r="J10" s="11" t="n">
        <v>1</v>
      </c>
      <c r="K10" s="11" t="n">
        <f aca="false">IF(I10="",DATE(2026,9,30)-B10,I10-B10)</f>
        <v>2</v>
      </c>
      <c r="L10" s="8" t="s">
        <v>28</v>
      </c>
      <c r="M10" s="8" t="s">
        <v>48</v>
      </c>
    </row>
    <row r="11" customFormat="false" ht="15" hidden="false" customHeight="false" outlineLevel="0" collapsed="false">
      <c r="A11" s="4" t="s">
        <v>49</v>
      </c>
      <c r="B11" s="5" t="n">
        <v>46267</v>
      </c>
      <c r="C11" s="4" t="s">
        <v>50</v>
      </c>
      <c r="D11" s="4" t="s">
        <v>51</v>
      </c>
      <c r="E11" s="4" t="s">
        <v>52</v>
      </c>
      <c r="F11" s="6" t="n">
        <v>9800</v>
      </c>
      <c r="G11" s="4" t="s">
        <v>53</v>
      </c>
      <c r="H11" s="4" t="s">
        <v>38</v>
      </c>
      <c r="I11" s="5"/>
      <c r="J11" s="7" t="n">
        <v>7</v>
      </c>
      <c r="K11" s="7" t="n">
        <f aca="false">IF(I11="",DATE(2026,9,30)-B11,I11-B11)</f>
        <v>28</v>
      </c>
      <c r="L11" s="4" t="s">
        <v>28</v>
      </c>
      <c r="M11" s="4" t="s">
        <v>54</v>
      </c>
    </row>
    <row r="12" customFormat="false" ht="15" hidden="false" customHeight="false" outlineLevel="0" collapsed="false">
      <c r="A12" s="8" t="s">
        <v>55</v>
      </c>
      <c r="B12" s="9" t="n">
        <v>46292</v>
      </c>
      <c r="C12" s="8" t="s">
        <v>56</v>
      </c>
      <c r="D12" s="8" t="s">
        <v>17</v>
      </c>
      <c r="E12" s="8" t="s">
        <v>18</v>
      </c>
      <c r="F12" s="10" t="n">
        <v>3600</v>
      </c>
      <c r="G12" s="8" t="s">
        <v>19</v>
      </c>
      <c r="H12" s="8" t="s">
        <v>20</v>
      </c>
      <c r="I12" s="9" t="n">
        <v>46293</v>
      </c>
      <c r="J12" s="11" t="n">
        <v>1</v>
      </c>
      <c r="K12" s="11" t="n">
        <f aca="false">IF(I12="",DATE(2026,9,30)-B12,I12-B12)</f>
        <v>1</v>
      </c>
      <c r="L12" s="8" t="s">
        <v>21</v>
      </c>
      <c r="M12" s="8" t="s">
        <v>57</v>
      </c>
    </row>
    <row r="13" customFormat="false" ht="15" hidden="false" customHeight="false" outlineLevel="0" collapsed="false">
      <c r="A13" s="4" t="s">
        <v>58</v>
      </c>
      <c r="B13" s="5" t="n">
        <v>46280</v>
      </c>
      <c r="C13" s="4" t="s">
        <v>59</v>
      </c>
      <c r="D13" s="4" t="s">
        <v>60</v>
      </c>
      <c r="E13" s="4" t="s">
        <v>61</v>
      </c>
      <c r="F13" s="6" t="n">
        <v>1250</v>
      </c>
      <c r="G13" s="4" t="s">
        <v>62</v>
      </c>
      <c r="H13" s="4" t="s">
        <v>20</v>
      </c>
      <c r="I13" s="5" t="n">
        <v>46284</v>
      </c>
      <c r="J13" s="7" t="n">
        <v>1</v>
      </c>
      <c r="K13" s="7" t="n">
        <f aca="false">IF(I13="",DATE(2026,9,30)-B13,I13-B13)</f>
        <v>4</v>
      </c>
      <c r="L13" s="4" t="s">
        <v>28</v>
      </c>
      <c r="M13" s="4" t="s">
        <v>63</v>
      </c>
    </row>
    <row r="14" customFormat="false" ht="15" hidden="false" customHeight="false" outlineLevel="0" collapsed="false">
      <c r="A14" s="8" t="s">
        <v>64</v>
      </c>
      <c r="B14" s="9" t="n">
        <v>46266</v>
      </c>
      <c r="C14" s="8" t="s">
        <v>65</v>
      </c>
      <c r="D14" s="8" t="s">
        <v>32</v>
      </c>
      <c r="E14" s="8" t="s">
        <v>33</v>
      </c>
      <c r="F14" s="10" t="n">
        <v>28999</v>
      </c>
      <c r="G14" s="8" t="s">
        <v>34</v>
      </c>
      <c r="H14" s="8" t="s">
        <v>20</v>
      </c>
      <c r="I14" s="9" t="n">
        <v>46276</v>
      </c>
      <c r="J14" s="11" t="n">
        <v>5</v>
      </c>
      <c r="K14" s="11" t="n">
        <f aca="false">IF(I14="",DATE(2026,9,30)-B14,I14-B14)</f>
        <v>10</v>
      </c>
      <c r="L14" s="8" t="s">
        <v>28</v>
      </c>
      <c r="M14" s="8" t="s">
        <v>66</v>
      </c>
    </row>
    <row r="15" customFormat="false" ht="15" hidden="false" customHeight="false" outlineLevel="0" collapsed="false">
      <c r="A15" s="4" t="s">
        <v>67</v>
      </c>
      <c r="B15" s="5" t="n">
        <v>46289</v>
      </c>
      <c r="C15" s="4" t="s">
        <v>68</v>
      </c>
      <c r="D15" s="4" t="s">
        <v>69</v>
      </c>
      <c r="E15" s="4" t="s">
        <v>18</v>
      </c>
      <c r="F15" s="6" t="n">
        <v>2000</v>
      </c>
      <c r="G15" s="4" t="s">
        <v>70</v>
      </c>
      <c r="H15" s="4" t="s">
        <v>20</v>
      </c>
      <c r="I15" s="5" t="n">
        <v>46290</v>
      </c>
      <c r="J15" s="7" t="n">
        <v>1</v>
      </c>
      <c r="K15" s="7" t="n">
        <f aca="false">IF(I15="",DATE(2026,9,30)-B15,I15-B15)</f>
        <v>1</v>
      </c>
      <c r="L15" s="4" t="s">
        <v>21</v>
      </c>
      <c r="M15" s="4" t="s">
        <v>71</v>
      </c>
    </row>
    <row r="16" customFormat="false" ht="15" hidden="false" customHeight="false" outlineLevel="0" collapsed="false">
      <c r="A16" s="8" t="s">
        <v>72</v>
      </c>
      <c r="B16" s="9" t="n">
        <v>46291</v>
      </c>
      <c r="C16" s="8" t="s">
        <v>73</v>
      </c>
      <c r="D16" s="8" t="s">
        <v>25</v>
      </c>
      <c r="E16" s="8" t="s">
        <v>26</v>
      </c>
      <c r="F16" s="10" t="n">
        <v>4200</v>
      </c>
      <c r="G16" s="8" t="s">
        <v>47</v>
      </c>
      <c r="H16" s="8" t="s">
        <v>38</v>
      </c>
      <c r="I16" s="9"/>
      <c r="J16" s="11" t="n">
        <v>1</v>
      </c>
      <c r="K16" s="11" t="n">
        <f aca="false">IF(I16="",DATE(2026,9,30)-B16,I16-B16)</f>
        <v>4</v>
      </c>
      <c r="L16" s="8" t="s">
        <v>28</v>
      </c>
      <c r="M16" s="8" t="s">
        <v>74</v>
      </c>
    </row>
    <row r="17" customFormat="false" ht="15" hidden="false" customHeight="false" outlineLevel="0" collapsed="false">
      <c r="A17" s="4" t="s">
        <v>75</v>
      </c>
      <c r="B17" s="5" t="n">
        <v>46294</v>
      </c>
      <c r="C17" s="4" t="s">
        <v>76</v>
      </c>
      <c r="D17" s="4" t="s">
        <v>17</v>
      </c>
      <c r="E17" s="4" t="s">
        <v>18</v>
      </c>
      <c r="F17" s="6" t="n">
        <v>2100</v>
      </c>
      <c r="G17" s="4" t="s">
        <v>19</v>
      </c>
      <c r="H17" s="4" t="s">
        <v>38</v>
      </c>
      <c r="I17" s="5"/>
      <c r="J17" s="7" t="n">
        <v>1</v>
      </c>
      <c r="K17" s="7" t="n">
        <f aca="false">IF(I17="",DATE(2026,9,30)-B17,I17-B17)</f>
        <v>1</v>
      </c>
      <c r="L17" s="4" t="s">
        <v>28</v>
      </c>
      <c r="M17" s="4" t="s">
        <v>77</v>
      </c>
    </row>
    <row r="18" customFormat="false" ht="15" hidden="false" customHeight="false" outlineLevel="0" collapsed="false">
      <c r="A18" s="8" t="s">
        <v>78</v>
      </c>
      <c r="B18" s="9" t="n">
        <v>46275</v>
      </c>
      <c r="C18" s="8" t="s">
        <v>79</v>
      </c>
      <c r="D18" s="8" t="s">
        <v>42</v>
      </c>
      <c r="E18" s="8" t="s">
        <v>43</v>
      </c>
      <c r="F18" s="10" t="n">
        <v>2700</v>
      </c>
      <c r="G18" s="8" t="s">
        <v>34</v>
      </c>
      <c r="H18" s="8" t="s">
        <v>20</v>
      </c>
      <c r="I18" s="9" t="n">
        <v>46282</v>
      </c>
      <c r="J18" s="11" t="n">
        <v>2</v>
      </c>
      <c r="K18" s="11" t="n">
        <f aca="false">IF(I18="",DATE(2026,9,30)-B18,I18-B18)</f>
        <v>7</v>
      </c>
      <c r="L18" s="8" t="s">
        <v>28</v>
      </c>
      <c r="M18" s="8" t="s">
        <v>80</v>
      </c>
    </row>
    <row r="19" customFormat="false" ht="15" hidden="false" customHeight="false" outlineLevel="0" collapsed="false">
      <c r="A19" s="4" t="s">
        <v>81</v>
      </c>
      <c r="B19" s="5" t="n">
        <v>46279</v>
      </c>
      <c r="C19" s="4" t="s">
        <v>82</v>
      </c>
      <c r="D19" s="4" t="s">
        <v>51</v>
      </c>
      <c r="E19" s="4" t="s">
        <v>52</v>
      </c>
      <c r="F19" s="6" t="n">
        <v>11500</v>
      </c>
      <c r="G19" s="4" t="s">
        <v>53</v>
      </c>
      <c r="H19" s="4" t="s">
        <v>20</v>
      </c>
      <c r="I19" s="5" t="n">
        <v>46284</v>
      </c>
      <c r="J19" s="7" t="n">
        <v>7</v>
      </c>
      <c r="K19" s="7" t="n">
        <f aca="false">IF(I19="",DATE(2026,9,30)-B19,I19-B19)</f>
        <v>5</v>
      </c>
      <c r="L19" s="4" t="s">
        <v>21</v>
      </c>
      <c r="M19" s="4" t="s">
        <v>83</v>
      </c>
    </row>
    <row r="20" customFormat="false" ht="15" hidden="false" customHeight="false" outlineLevel="0" collapsed="false">
      <c r="A20" s="8" t="s">
        <v>84</v>
      </c>
      <c r="B20" s="9" t="n">
        <v>46284</v>
      </c>
      <c r="C20" s="8" t="s">
        <v>85</v>
      </c>
      <c r="D20" s="8" t="s">
        <v>32</v>
      </c>
      <c r="E20" s="8" t="s">
        <v>33</v>
      </c>
      <c r="F20" s="10" t="n">
        <v>42999</v>
      </c>
      <c r="G20" s="8" t="s">
        <v>34</v>
      </c>
      <c r="H20" s="8" t="s">
        <v>38</v>
      </c>
      <c r="I20" s="9"/>
      <c r="J20" s="11" t="n">
        <v>5</v>
      </c>
      <c r="K20" s="11" t="n">
        <f aca="false">IF(I20="",DATE(2026,9,30)-B20,I20-B20)</f>
        <v>11</v>
      </c>
      <c r="L20" s="8" t="s">
        <v>28</v>
      </c>
      <c r="M20" s="8" t="s">
        <v>86</v>
      </c>
    </row>
    <row r="21" customFormat="false" ht="15" hidden="false" customHeight="false" outlineLevel="0" collapsed="false">
      <c r="A21" s="4" t="s">
        <v>87</v>
      </c>
      <c r="B21" s="5" t="n">
        <v>46293</v>
      </c>
      <c r="C21" s="4" t="s">
        <v>88</v>
      </c>
      <c r="D21" s="4" t="s">
        <v>60</v>
      </c>
      <c r="E21" s="4" t="s">
        <v>61</v>
      </c>
      <c r="F21" s="6" t="n">
        <v>890</v>
      </c>
      <c r="G21" s="4" t="s">
        <v>62</v>
      </c>
      <c r="H21" s="4" t="s">
        <v>20</v>
      </c>
      <c r="I21" s="5" t="n">
        <v>46294</v>
      </c>
      <c r="J21" s="7" t="n">
        <v>1</v>
      </c>
      <c r="K21" s="7" t="n">
        <f aca="false">IF(I21="",DATE(2026,9,30)-B21,I21-B21)</f>
        <v>1</v>
      </c>
      <c r="L21" s="4" t="s">
        <v>21</v>
      </c>
      <c r="M21" s="4" t="s">
        <v>89</v>
      </c>
    </row>
    <row r="22" customFormat="false" ht="15" hidden="false" customHeight="false" outlineLevel="0" collapsed="false">
      <c r="A22" s="8" t="s">
        <v>90</v>
      </c>
      <c r="B22" s="9" t="n">
        <v>46281</v>
      </c>
      <c r="C22" s="8" t="s">
        <v>91</v>
      </c>
      <c r="D22" s="8" t="s">
        <v>17</v>
      </c>
      <c r="E22" s="8" t="s">
        <v>18</v>
      </c>
      <c r="F22" s="10" t="n">
        <v>3800</v>
      </c>
      <c r="G22" s="8" t="s">
        <v>19</v>
      </c>
      <c r="H22" s="8" t="s">
        <v>20</v>
      </c>
      <c r="I22" s="9" t="n">
        <v>46282</v>
      </c>
      <c r="J22" s="11" t="n">
        <v>1</v>
      </c>
      <c r="K22" s="11" t="n">
        <f aca="false">IF(I22="",DATE(2026,9,30)-B22,I22-B22)</f>
        <v>1</v>
      </c>
      <c r="L22" s="8" t="s">
        <v>21</v>
      </c>
      <c r="M22" s="8" t="s">
        <v>57</v>
      </c>
    </row>
    <row r="23" customFormat="false" ht="15" hidden="false" customHeight="false" outlineLevel="0" collapsed="false">
      <c r="A23" s="4" t="s">
        <v>92</v>
      </c>
      <c r="B23" s="5" t="n">
        <v>46287</v>
      </c>
      <c r="C23" s="4" t="s">
        <v>93</v>
      </c>
      <c r="D23" s="4" t="s">
        <v>25</v>
      </c>
      <c r="E23" s="4" t="s">
        <v>26</v>
      </c>
      <c r="F23" s="6" t="n">
        <v>5200</v>
      </c>
      <c r="G23" s="4" t="s">
        <v>27</v>
      </c>
      <c r="H23" s="4" t="s">
        <v>38</v>
      </c>
      <c r="I23" s="5"/>
      <c r="J23" s="7" t="n">
        <v>1</v>
      </c>
      <c r="K23" s="7" t="n">
        <f aca="false">IF(I23="",DATE(2026,9,30)-B23,I23-B23)</f>
        <v>8</v>
      </c>
      <c r="L23" s="4" t="s">
        <v>28</v>
      </c>
      <c r="M23" s="4" t="s">
        <v>94</v>
      </c>
    </row>
    <row r="24" customFormat="false" ht="15" hidden="false" customHeight="false" outlineLevel="0" collapsed="false">
      <c r="A24" s="8" t="s">
        <v>95</v>
      </c>
      <c r="B24" s="9" t="n">
        <v>46276</v>
      </c>
      <c r="C24" s="8" t="s">
        <v>96</v>
      </c>
      <c r="D24" s="8" t="s">
        <v>69</v>
      </c>
      <c r="E24" s="8" t="s">
        <v>18</v>
      </c>
      <c r="F24" s="10" t="n">
        <v>1500</v>
      </c>
      <c r="G24" s="8" t="s">
        <v>70</v>
      </c>
      <c r="H24" s="8" t="s">
        <v>20</v>
      </c>
      <c r="I24" s="9" t="n">
        <v>46279</v>
      </c>
      <c r="J24" s="11" t="n">
        <v>1</v>
      </c>
      <c r="K24" s="11" t="n">
        <f aca="false">IF(I24="",DATE(2026,9,30)-B24,I24-B24)</f>
        <v>3</v>
      </c>
      <c r="L24" s="8" t="s">
        <v>28</v>
      </c>
      <c r="M24" s="8" t="s">
        <v>97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40"/>
  </cols>
  <sheetData>
    <row r="1" customFormat="false" ht="27.7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" t="s">
        <v>100</v>
      </c>
      <c r="B4" s="3" t="s">
        <v>4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</row>
    <row r="5" customFormat="false" ht="15" hidden="false" customHeight="false" outlineLevel="0" collapsed="false">
      <c r="A5" s="4" t="s">
        <v>111</v>
      </c>
      <c r="B5" s="4" t="s">
        <v>16</v>
      </c>
      <c r="C5" s="4" t="s">
        <v>112</v>
      </c>
      <c r="D5" s="4" t="s">
        <v>113</v>
      </c>
      <c r="E5" s="4" t="s">
        <v>114</v>
      </c>
      <c r="F5" s="4" t="s">
        <v>115</v>
      </c>
      <c r="G5" s="4"/>
      <c r="H5" s="6" t="n">
        <v>6200</v>
      </c>
      <c r="I5" s="7" t="n">
        <v>3</v>
      </c>
      <c r="J5" s="7" t="n">
        <v>0</v>
      </c>
      <c r="K5" s="12" t="n">
        <f aca="false">IF(I5=0,"",ROUND(J5/I5*100,1))</f>
        <v>0</v>
      </c>
      <c r="L5" s="4" t="s">
        <v>116</v>
      </c>
    </row>
    <row r="6" customFormat="false" ht="15" hidden="false" customHeight="false" outlineLevel="0" collapsed="false">
      <c r="A6" s="8" t="s">
        <v>117</v>
      </c>
      <c r="B6" s="8" t="s">
        <v>24</v>
      </c>
      <c r="C6" s="8" t="s">
        <v>118</v>
      </c>
      <c r="D6" s="8" t="s">
        <v>119</v>
      </c>
      <c r="E6" s="8" t="s">
        <v>120</v>
      </c>
      <c r="F6" s="8" t="s">
        <v>115</v>
      </c>
      <c r="G6" s="8"/>
      <c r="H6" s="10" t="n">
        <v>2450</v>
      </c>
      <c r="I6" s="11" t="n">
        <v>3</v>
      </c>
      <c r="J6" s="11" t="n">
        <v>2</v>
      </c>
      <c r="K6" s="13" t="n">
        <f aca="false">IF(I6=0,"",ROUND(J6/I6*100,1))</f>
        <v>66.7</v>
      </c>
      <c r="L6" s="8" t="s">
        <v>121</v>
      </c>
    </row>
    <row r="7" customFormat="false" ht="15" hidden="false" customHeight="false" outlineLevel="0" collapsed="false">
      <c r="A7" s="4" t="s">
        <v>122</v>
      </c>
      <c r="B7" s="4" t="s">
        <v>31</v>
      </c>
      <c r="C7" s="4" t="s">
        <v>123</v>
      </c>
      <c r="D7" s="4" t="s">
        <v>124</v>
      </c>
      <c r="E7" s="4" t="s">
        <v>125</v>
      </c>
      <c r="F7" s="4" t="s">
        <v>115</v>
      </c>
      <c r="G7" s="4"/>
      <c r="H7" s="6" t="n">
        <v>3100</v>
      </c>
      <c r="I7" s="7" t="n">
        <v>3</v>
      </c>
      <c r="J7" s="7" t="n">
        <v>0</v>
      </c>
      <c r="K7" s="12" t="n">
        <f aca="false">IF(I7=0,"",ROUND(J7/I7*100,1))</f>
        <v>0</v>
      </c>
      <c r="L7" s="4" t="s">
        <v>116</v>
      </c>
    </row>
    <row r="8" customFormat="false" ht="15" hidden="false" customHeight="false" outlineLevel="0" collapsed="false">
      <c r="A8" s="8" t="s">
        <v>126</v>
      </c>
      <c r="B8" s="8" t="s">
        <v>37</v>
      </c>
      <c r="C8" s="8" t="s">
        <v>127</v>
      </c>
      <c r="D8" s="8" t="s">
        <v>119</v>
      </c>
      <c r="E8" s="8" t="s">
        <v>128</v>
      </c>
      <c r="F8" s="8" t="s">
        <v>129</v>
      </c>
      <c r="G8" s="8" t="s">
        <v>130</v>
      </c>
      <c r="H8" s="10" t="n">
        <v>2900</v>
      </c>
      <c r="I8" s="11" t="n">
        <v>0</v>
      </c>
      <c r="J8" s="11" t="n">
        <v>0</v>
      </c>
      <c r="K8" s="13" t="str">
        <f aca="false">IF(I8=0,"",ROUND(J8/I8*100,1))</f>
        <v/>
      </c>
      <c r="L8" s="8" t="s">
        <v>131</v>
      </c>
    </row>
    <row r="9" customFormat="false" ht="15" hidden="false" customHeight="false" outlineLevel="0" collapsed="false">
      <c r="A9" s="4" t="s">
        <v>132</v>
      </c>
      <c r="B9" s="4" t="s">
        <v>41</v>
      </c>
      <c r="C9" s="4" t="s">
        <v>133</v>
      </c>
      <c r="D9" s="4" t="s">
        <v>134</v>
      </c>
      <c r="E9" s="4" t="s">
        <v>135</v>
      </c>
      <c r="F9" s="4" t="s">
        <v>115</v>
      </c>
      <c r="G9" s="4"/>
      <c r="H9" s="6" t="n">
        <v>4800</v>
      </c>
      <c r="I9" s="7" t="n">
        <v>3</v>
      </c>
      <c r="J9" s="7" t="n">
        <v>1</v>
      </c>
      <c r="K9" s="12" t="n">
        <f aca="false">IF(I9=0,"",ROUND(J9/I9*100,1))</f>
        <v>33.3</v>
      </c>
      <c r="L9" s="4" t="s">
        <v>116</v>
      </c>
    </row>
    <row r="10" customFormat="false" ht="15" hidden="false" customHeight="false" outlineLevel="0" collapsed="false">
      <c r="A10" s="8" t="s">
        <v>136</v>
      </c>
      <c r="B10" s="8" t="s">
        <v>46</v>
      </c>
      <c r="C10" s="8" t="s">
        <v>118</v>
      </c>
      <c r="D10" s="8" t="s">
        <v>137</v>
      </c>
      <c r="E10" s="8" t="s">
        <v>138</v>
      </c>
      <c r="F10" s="8" t="s">
        <v>139</v>
      </c>
      <c r="G10" s="8"/>
      <c r="H10" s="10" t="n">
        <v>1950</v>
      </c>
      <c r="I10" s="11" t="n">
        <v>0</v>
      </c>
      <c r="J10" s="11" t="n">
        <v>0</v>
      </c>
      <c r="K10" s="13" t="str">
        <f aca="false">IF(I10=0,"",ROUND(J10/I10*100,1))</f>
        <v/>
      </c>
      <c r="L10" s="8" t="s">
        <v>140</v>
      </c>
    </row>
    <row r="11" customFormat="false" ht="15" hidden="false" customHeight="false" outlineLevel="0" collapsed="false">
      <c r="A11" s="4" t="s">
        <v>141</v>
      </c>
      <c r="B11" s="4" t="s">
        <v>50</v>
      </c>
      <c r="C11" s="4" t="s">
        <v>112</v>
      </c>
      <c r="D11" s="4" t="s">
        <v>113</v>
      </c>
      <c r="E11" s="4" t="s">
        <v>142</v>
      </c>
      <c r="F11" s="4" t="s">
        <v>115</v>
      </c>
      <c r="G11" s="4"/>
      <c r="H11" s="6" t="n">
        <v>9800</v>
      </c>
      <c r="I11" s="7" t="n">
        <v>3</v>
      </c>
      <c r="J11" s="7" t="n">
        <v>3</v>
      </c>
      <c r="K11" s="12" t="n">
        <f aca="false">IF(I11=0,"",ROUND(J11/I11*100,1))</f>
        <v>100</v>
      </c>
      <c r="L11" s="4" t="s">
        <v>121</v>
      </c>
    </row>
    <row r="12" customFormat="false" ht="15" hidden="false" customHeight="false" outlineLevel="0" collapsed="false">
      <c r="A12" s="8" t="s">
        <v>143</v>
      </c>
      <c r="B12" s="8" t="s">
        <v>56</v>
      </c>
      <c r="C12" s="8" t="s">
        <v>123</v>
      </c>
      <c r="D12" s="8" t="s">
        <v>124</v>
      </c>
      <c r="E12" s="8" t="s">
        <v>120</v>
      </c>
      <c r="F12" s="8" t="s">
        <v>115</v>
      </c>
      <c r="G12" s="8"/>
      <c r="H12" s="10" t="n">
        <v>3600</v>
      </c>
      <c r="I12" s="11" t="n">
        <v>3</v>
      </c>
      <c r="J12" s="11" t="n">
        <v>0</v>
      </c>
      <c r="K12" s="13" t="n">
        <f aca="false">IF(I12=0,"",ROUND(J12/I12*100,1))</f>
        <v>0</v>
      </c>
      <c r="L12" s="8" t="s">
        <v>116</v>
      </c>
    </row>
    <row r="13" customFormat="false" ht="15" hidden="false" customHeight="false" outlineLevel="0" collapsed="false">
      <c r="A13" s="4" t="s">
        <v>144</v>
      </c>
      <c r="B13" s="4" t="s">
        <v>59</v>
      </c>
      <c r="C13" s="4" t="s">
        <v>127</v>
      </c>
      <c r="D13" s="4" t="s">
        <v>119</v>
      </c>
      <c r="E13" s="4" t="s">
        <v>145</v>
      </c>
      <c r="F13" s="4" t="s">
        <v>129</v>
      </c>
      <c r="G13" s="4" t="s">
        <v>146</v>
      </c>
      <c r="H13" s="6" t="n">
        <v>3300</v>
      </c>
      <c r="I13" s="7" t="n">
        <v>0</v>
      </c>
      <c r="J13" s="7" t="n">
        <v>0</v>
      </c>
      <c r="K13" s="12" t="str">
        <f aca="false">IF(I13=0,"",ROUND(J13/I13*100,1))</f>
        <v/>
      </c>
      <c r="L13" s="4" t="s">
        <v>131</v>
      </c>
    </row>
    <row r="14" customFormat="false" ht="15" hidden="false" customHeight="false" outlineLevel="0" collapsed="false">
      <c r="A14" s="8" t="s">
        <v>147</v>
      </c>
      <c r="B14" s="8" t="s">
        <v>65</v>
      </c>
      <c r="C14" s="8" t="s">
        <v>112</v>
      </c>
      <c r="D14" s="8" t="s">
        <v>134</v>
      </c>
      <c r="E14" s="8" t="s">
        <v>114</v>
      </c>
      <c r="F14" s="8" t="s">
        <v>115</v>
      </c>
      <c r="G14" s="8"/>
      <c r="H14" s="10" t="n">
        <v>8200</v>
      </c>
      <c r="I14" s="11" t="n">
        <v>3</v>
      </c>
      <c r="J14" s="11" t="n">
        <v>2</v>
      </c>
      <c r="K14" s="13" t="n">
        <f aca="false">IF(I14=0,"",ROUND(J14/I14*100,1))</f>
        <v>66.7</v>
      </c>
      <c r="L14" s="8" t="s">
        <v>121</v>
      </c>
    </row>
    <row r="15" customFormat="false" ht="15" hidden="false" customHeight="false" outlineLevel="0" collapsed="false">
      <c r="A15" s="4" t="s">
        <v>148</v>
      </c>
      <c r="B15" s="4" t="s">
        <v>68</v>
      </c>
      <c r="C15" s="4" t="s">
        <v>133</v>
      </c>
      <c r="D15" s="4" t="s">
        <v>124</v>
      </c>
      <c r="E15" s="4" t="s">
        <v>149</v>
      </c>
      <c r="F15" s="4" t="s">
        <v>129</v>
      </c>
      <c r="G15" s="4" t="s">
        <v>150</v>
      </c>
      <c r="H15" s="6" t="n">
        <v>5600</v>
      </c>
      <c r="I15" s="7" t="n">
        <v>0</v>
      </c>
      <c r="J15" s="7" t="n">
        <v>0</v>
      </c>
      <c r="K15" s="12" t="str">
        <f aca="false">IF(I15=0,"",ROUND(J15/I15*100,1))</f>
        <v/>
      </c>
      <c r="L15" s="4" t="s">
        <v>131</v>
      </c>
    </row>
    <row r="16" customFormat="false" ht="15" hidden="false" customHeight="false" outlineLevel="0" collapsed="false">
      <c r="A16" s="8" t="s">
        <v>151</v>
      </c>
      <c r="B16" s="8" t="s">
        <v>73</v>
      </c>
      <c r="C16" s="8" t="s">
        <v>123</v>
      </c>
      <c r="D16" s="8" t="s">
        <v>113</v>
      </c>
      <c r="E16" s="8" t="s">
        <v>125</v>
      </c>
      <c r="F16" s="8" t="s">
        <v>115</v>
      </c>
      <c r="G16" s="8"/>
      <c r="H16" s="10" t="n">
        <v>4200</v>
      </c>
      <c r="I16" s="11" t="n">
        <v>3</v>
      </c>
      <c r="J16" s="11" t="n">
        <v>1</v>
      </c>
      <c r="K16" s="13" t="n">
        <f aca="false">IF(I16=0,"",ROUND(J16/I16*100,1))</f>
        <v>33.3</v>
      </c>
      <c r="L16" s="8" t="s">
        <v>116</v>
      </c>
    </row>
    <row r="17" customFormat="false" ht="15" hidden="false" customHeight="false" outlineLevel="0" collapsed="false">
      <c r="A17" s="4" t="s">
        <v>152</v>
      </c>
      <c r="B17" s="4" t="s">
        <v>76</v>
      </c>
      <c r="C17" s="4" t="s">
        <v>118</v>
      </c>
      <c r="D17" s="4" t="s">
        <v>119</v>
      </c>
      <c r="E17" s="4" t="s">
        <v>153</v>
      </c>
      <c r="F17" s="4" t="s">
        <v>139</v>
      </c>
      <c r="G17" s="4"/>
      <c r="H17" s="6" t="n">
        <v>2100</v>
      </c>
      <c r="I17" s="7" t="n">
        <v>0</v>
      </c>
      <c r="J17" s="7" t="n">
        <v>0</v>
      </c>
      <c r="K17" s="12" t="str">
        <f aca="false">IF(I17=0,"",ROUND(J17/I17*100,1))</f>
        <v/>
      </c>
      <c r="L17" s="4" t="s">
        <v>140</v>
      </c>
    </row>
    <row r="18" customFormat="false" ht="15" hidden="false" customHeight="false" outlineLevel="0" collapsed="false">
      <c r="A18" s="8" t="s">
        <v>154</v>
      </c>
      <c r="B18" s="8" t="s">
        <v>79</v>
      </c>
      <c r="C18" s="8" t="s">
        <v>127</v>
      </c>
      <c r="D18" s="8" t="s">
        <v>134</v>
      </c>
      <c r="E18" s="8" t="s">
        <v>120</v>
      </c>
      <c r="F18" s="8" t="s">
        <v>115</v>
      </c>
      <c r="G18" s="8"/>
      <c r="H18" s="10" t="n">
        <v>2700</v>
      </c>
      <c r="I18" s="11" t="n">
        <v>3</v>
      </c>
      <c r="J18" s="11" t="n">
        <v>0</v>
      </c>
      <c r="K18" s="13" t="n">
        <f aca="false">IF(I18=0,"",ROUND(J18/I18*100,1))</f>
        <v>0</v>
      </c>
      <c r="L18" s="8" t="s">
        <v>116</v>
      </c>
    </row>
    <row r="19" customFormat="false" ht="15" hidden="false" customHeight="false" outlineLevel="0" collapsed="false">
      <c r="A19" s="4" t="s">
        <v>155</v>
      </c>
      <c r="B19" s="4" t="s">
        <v>82</v>
      </c>
      <c r="C19" s="4" t="s">
        <v>112</v>
      </c>
      <c r="D19" s="4" t="s">
        <v>119</v>
      </c>
      <c r="E19" s="4" t="s">
        <v>156</v>
      </c>
      <c r="F19" s="4" t="s">
        <v>129</v>
      </c>
      <c r="G19" s="4" t="s">
        <v>157</v>
      </c>
      <c r="H19" s="6" t="n">
        <v>11500</v>
      </c>
      <c r="I19" s="7" t="n">
        <v>0</v>
      </c>
      <c r="J19" s="7" t="n">
        <v>0</v>
      </c>
      <c r="K19" s="12" t="str">
        <f aca="false">IF(I19=0,"",ROUND(J19/I19*100,1))</f>
        <v/>
      </c>
      <c r="L19" s="4" t="s">
        <v>131</v>
      </c>
    </row>
    <row r="20" customFormat="false" ht="15" hidden="false" customHeight="false" outlineLevel="0" collapsed="false">
      <c r="A20" s="8" t="s">
        <v>158</v>
      </c>
      <c r="B20" s="8" t="s">
        <v>85</v>
      </c>
      <c r="C20" s="8" t="s">
        <v>133</v>
      </c>
      <c r="D20" s="8" t="s">
        <v>113</v>
      </c>
      <c r="E20" s="8" t="s">
        <v>142</v>
      </c>
      <c r="F20" s="8" t="s">
        <v>115</v>
      </c>
      <c r="G20" s="8"/>
      <c r="H20" s="10" t="n">
        <v>6900</v>
      </c>
      <c r="I20" s="11" t="n">
        <v>3</v>
      </c>
      <c r="J20" s="11" t="n">
        <v>2</v>
      </c>
      <c r="K20" s="13" t="n">
        <f aca="false">IF(I20=0,"",ROUND(J20/I20*100,1))</f>
        <v>66.7</v>
      </c>
      <c r="L20" s="8" t="s">
        <v>121</v>
      </c>
    </row>
    <row r="21" customFormat="false" ht="15" hidden="false" customHeight="false" outlineLevel="0" collapsed="false">
      <c r="A21" s="4" t="s">
        <v>159</v>
      </c>
      <c r="B21" s="4" t="s">
        <v>88</v>
      </c>
      <c r="C21" s="4" t="s">
        <v>118</v>
      </c>
      <c r="D21" s="4" t="s">
        <v>124</v>
      </c>
      <c r="E21" s="4" t="s">
        <v>135</v>
      </c>
      <c r="F21" s="4" t="s">
        <v>115</v>
      </c>
      <c r="G21" s="4"/>
      <c r="H21" s="6" t="n">
        <v>1800</v>
      </c>
      <c r="I21" s="7" t="n">
        <v>3</v>
      </c>
      <c r="J21" s="7" t="n">
        <v>0</v>
      </c>
      <c r="K21" s="12" t="n">
        <f aca="false">IF(I21=0,"",ROUND(J21/I21*100,1))</f>
        <v>0</v>
      </c>
      <c r="L21" s="4" t="s">
        <v>116</v>
      </c>
    </row>
    <row r="22" customFormat="false" ht="15" hidden="false" customHeight="false" outlineLevel="0" collapsed="false">
      <c r="A22" s="8" t="s">
        <v>160</v>
      </c>
      <c r="B22" s="8" t="s">
        <v>91</v>
      </c>
      <c r="C22" s="8" t="s">
        <v>123</v>
      </c>
      <c r="D22" s="8" t="s">
        <v>119</v>
      </c>
      <c r="E22" s="8" t="s">
        <v>161</v>
      </c>
      <c r="F22" s="8" t="s">
        <v>129</v>
      </c>
      <c r="G22" s="8" t="s">
        <v>130</v>
      </c>
      <c r="H22" s="10" t="n">
        <v>3800</v>
      </c>
      <c r="I22" s="11" t="n">
        <v>0</v>
      </c>
      <c r="J22" s="11" t="n">
        <v>0</v>
      </c>
      <c r="K22" s="13" t="str">
        <f aca="false">IF(I22=0,"",ROUND(J22/I22*100,1))</f>
        <v/>
      </c>
      <c r="L22" s="8" t="s">
        <v>131</v>
      </c>
    </row>
    <row r="23" customFormat="false" ht="15" hidden="false" customHeight="false" outlineLevel="0" collapsed="false">
      <c r="A23" s="4" t="s">
        <v>162</v>
      </c>
      <c r="B23" s="4" t="s">
        <v>93</v>
      </c>
      <c r="C23" s="4" t="s">
        <v>133</v>
      </c>
      <c r="D23" s="4" t="s">
        <v>113</v>
      </c>
      <c r="E23" s="4" t="s">
        <v>114</v>
      </c>
      <c r="F23" s="4" t="s">
        <v>163</v>
      </c>
      <c r="G23" s="4"/>
      <c r="H23" s="6" t="n">
        <v>5200</v>
      </c>
      <c r="I23" s="7" t="n">
        <v>3</v>
      </c>
      <c r="J23" s="7" t="n">
        <v>1</v>
      </c>
      <c r="K23" s="12" t="n">
        <f aca="false">IF(I23=0,"",ROUND(J23/I23*100,1))</f>
        <v>33.3</v>
      </c>
      <c r="L23" s="4" t="s">
        <v>164</v>
      </c>
    </row>
    <row r="24" customFormat="false" ht="15" hidden="false" customHeight="false" outlineLevel="0" collapsed="false">
      <c r="A24" s="8" t="s">
        <v>165</v>
      </c>
      <c r="B24" s="8" t="s">
        <v>96</v>
      </c>
      <c r="C24" s="8" t="s">
        <v>127</v>
      </c>
      <c r="D24" s="8" t="s">
        <v>137</v>
      </c>
      <c r="E24" s="8" t="s">
        <v>128</v>
      </c>
      <c r="F24" s="8" t="s">
        <v>115</v>
      </c>
      <c r="G24" s="8"/>
      <c r="H24" s="10" t="n">
        <v>2500</v>
      </c>
      <c r="I24" s="11" t="n">
        <v>3</v>
      </c>
      <c r="J24" s="11" t="n">
        <v>1</v>
      </c>
      <c r="K24" s="13" t="n">
        <f aca="false">IF(I24=0,"",ROUND(J24/I24*100,1))</f>
        <v>33.3</v>
      </c>
      <c r="L24" s="8" t="s">
        <v>116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3"/>
  </cols>
  <sheetData>
    <row r="1" customFormat="false" ht="27.75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4" hidden="false" customHeight="true" outlineLevel="0" collapsed="false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1.5" hidden="false" customHeight="true" outlineLevel="0" collapsed="false">
      <c r="A4" s="3" t="s">
        <v>168</v>
      </c>
      <c r="B4" s="3" t="s">
        <v>169</v>
      </c>
      <c r="C4" s="3" t="s">
        <v>170</v>
      </c>
      <c r="D4" s="3" t="s">
        <v>171</v>
      </c>
      <c r="E4" s="3" t="s">
        <v>172</v>
      </c>
      <c r="F4" s="3" t="s">
        <v>173</v>
      </c>
      <c r="G4" s="3" t="s">
        <v>174</v>
      </c>
      <c r="H4" s="3" t="s">
        <v>175</v>
      </c>
      <c r="I4" s="3" t="s">
        <v>176</v>
      </c>
      <c r="J4" s="3" t="s">
        <v>177</v>
      </c>
      <c r="K4" s="3" t="s">
        <v>178</v>
      </c>
      <c r="L4" s="3" t="s">
        <v>179</v>
      </c>
      <c r="M4" s="3" t="s">
        <v>180</v>
      </c>
      <c r="N4" s="3" t="s">
        <v>181</v>
      </c>
      <c r="O4" s="3" t="s">
        <v>182</v>
      </c>
    </row>
    <row r="5" customFormat="false" ht="15" hidden="false" customHeight="false" outlineLevel="0" collapsed="false">
      <c r="A5" s="4" t="s">
        <v>183</v>
      </c>
      <c r="B5" s="14" t="n">
        <v>148.2</v>
      </c>
      <c r="C5" s="6" t="n">
        <v>3420</v>
      </c>
      <c r="D5" s="12" t="n">
        <v>98.6</v>
      </c>
      <c r="E5" s="12" t="n">
        <v>87.9</v>
      </c>
      <c r="F5" s="12" t="n">
        <v>99.1</v>
      </c>
      <c r="G5" s="6" t="n">
        <v>2410</v>
      </c>
      <c r="H5" s="12" t="n">
        <v>97.6</v>
      </c>
      <c r="I5" s="12" t="n">
        <v>3.4</v>
      </c>
      <c r="J5" s="6" t="n">
        <v>96</v>
      </c>
      <c r="K5" s="7" t="n">
        <v>64</v>
      </c>
      <c r="L5" s="6" t="n">
        <v>520</v>
      </c>
      <c r="M5" s="12" t="n">
        <v>9.6</v>
      </c>
      <c r="N5" s="6" t="n">
        <v>142</v>
      </c>
      <c r="O5" s="6" t="n">
        <v>38400</v>
      </c>
    </row>
    <row r="6" customFormat="false" ht="15" hidden="false" customHeight="false" outlineLevel="0" collapsed="false">
      <c r="A6" s="8" t="s">
        <v>184</v>
      </c>
      <c r="B6" s="15" t="n">
        <v>152.6</v>
      </c>
      <c r="C6" s="10" t="n">
        <v>3515</v>
      </c>
      <c r="D6" s="13" t="n">
        <v>98.7</v>
      </c>
      <c r="E6" s="13" t="n">
        <v>88.3</v>
      </c>
      <c r="F6" s="13" t="n">
        <v>99.2</v>
      </c>
      <c r="G6" s="10" t="n">
        <v>2380</v>
      </c>
      <c r="H6" s="13" t="n">
        <v>97.9</v>
      </c>
      <c r="I6" s="13" t="n">
        <v>3.2</v>
      </c>
      <c r="J6" s="10" t="n">
        <v>92</v>
      </c>
      <c r="K6" s="11" t="n">
        <v>66</v>
      </c>
      <c r="L6" s="10" t="n">
        <v>498</v>
      </c>
      <c r="M6" s="13" t="n">
        <v>8.8</v>
      </c>
      <c r="N6" s="10" t="n">
        <v>135</v>
      </c>
      <c r="O6" s="10" t="n">
        <v>35200</v>
      </c>
    </row>
    <row r="7" customFormat="false" ht="15" hidden="false" customHeight="false" outlineLevel="0" collapsed="false">
      <c r="A7" s="4" t="s">
        <v>185</v>
      </c>
      <c r="B7" s="14" t="n">
        <v>155.1</v>
      </c>
      <c r="C7" s="6" t="n">
        <v>3588</v>
      </c>
      <c r="D7" s="12" t="n">
        <v>98.8</v>
      </c>
      <c r="E7" s="12" t="n">
        <v>88.6</v>
      </c>
      <c r="F7" s="12" t="n">
        <v>99.2</v>
      </c>
      <c r="G7" s="6" t="n">
        <v>2350</v>
      </c>
      <c r="H7" s="12" t="n">
        <v>98.1</v>
      </c>
      <c r="I7" s="12" t="n">
        <v>3.1</v>
      </c>
      <c r="J7" s="6" t="n">
        <v>98</v>
      </c>
      <c r="K7" s="7" t="n">
        <v>65</v>
      </c>
      <c r="L7" s="6" t="n">
        <v>476</v>
      </c>
      <c r="M7" s="12" t="n">
        <v>8.1</v>
      </c>
      <c r="N7" s="6" t="n">
        <v>131</v>
      </c>
      <c r="O7" s="6" t="n">
        <v>33900</v>
      </c>
    </row>
    <row r="8" customFormat="false" ht="15" hidden="false" customHeight="false" outlineLevel="0" collapsed="false">
      <c r="A8" s="8" t="s">
        <v>186</v>
      </c>
      <c r="B8" s="15" t="n">
        <v>158.9</v>
      </c>
      <c r="C8" s="10" t="n">
        <v>3662</v>
      </c>
      <c r="D8" s="13" t="n">
        <v>98.8</v>
      </c>
      <c r="E8" s="13" t="n">
        <v>88.9</v>
      </c>
      <c r="F8" s="13" t="n">
        <v>99.3</v>
      </c>
      <c r="G8" s="10" t="n">
        <v>2290</v>
      </c>
      <c r="H8" s="13" t="n">
        <v>98.3</v>
      </c>
      <c r="I8" s="13" t="n">
        <v>3</v>
      </c>
      <c r="J8" s="10" t="n">
        <v>101</v>
      </c>
      <c r="K8" s="11" t="n">
        <v>67</v>
      </c>
      <c r="L8" s="10" t="n">
        <v>455</v>
      </c>
      <c r="M8" s="13" t="n">
        <v>7.4</v>
      </c>
      <c r="N8" s="10" t="n">
        <v>126</v>
      </c>
      <c r="O8" s="10" t="n">
        <v>31700</v>
      </c>
    </row>
    <row r="9" customFormat="false" ht="15" hidden="false" customHeight="false" outlineLevel="0" collapsed="false">
      <c r="A9" s="4" t="s">
        <v>187</v>
      </c>
      <c r="B9" s="14" t="n">
        <v>163.4</v>
      </c>
      <c r="C9" s="6" t="n">
        <v>3741</v>
      </c>
      <c r="D9" s="12" t="n">
        <v>98.9</v>
      </c>
      <c r="E9" s="12" t="n">
        <v>89.2</v>
      </c>
      <c r="F9" s="12" t="n">
        <v>99.3</v>
      </c>
      <c r="G9" s="6" t="n">
        <v>2260</v>
      </c>
      <c r="H9" s="12" t="n">
        <v>98.4</v>
      </c>
      <c r="I9" s="12" t="n">
        <v>2.9</v>
      </c>
      <c r="J9" s="6" t="n">
        <v>104</v>
      </c>
      <c r="K9" s="7" t="n">
        <v>68</v>
      </c>
      <c r="L9" s="6" t="n">
        <v>441</v>
      </c>
      <c r="M9" s="12" t="n">
        <v>6.9</v>
      </c>
      <c r="N9" s="6" t="n">
        <v>122</v>
      </c>
      <c r="O9" s="6" t="n">
        <v>30200</v>
      </c>
    </row>
    <row r="10" customFormat="false" ht="15" hidden="false" customHeight="false" outlineLevel="0" collapsed="false">
      <c r="A10" s="8" t="s">
        <v>188</v>
      </c>
      <c r="B10" s="15" t="n">
        <v>188.7</v>
      </c>
      <c r="C10" s="10" t="n">
        <v>4268</v>
      </c>
      <c r="D10" s="13" t="n">
        <v>98.1</v>
      </c>
      <c r="E10" s="13" t="n">
        <v>86.4</v>
      </c>
      <c r="F10" s="13" t="n">
        <v>98.4</v>
      </c>
      <c r="G10" s="10" t="n">
        <v>3980</v>
      </c>
      <c r="H10" s="13" t="n">
        <v>94.6</v>
      </c>
      <c r="I10" s="13" t="n">
        <v>4.1</v>
      </c>
      <c r="J10" s="10" t="n">
        <v>163</v>
      </c>
      <c r="K10" s="11" t="n">
        <v>58</v>
      </c>
      <c r="L10" s="10" t="n">
        <v>1011</v>
      </c>
      <c r="M10" s="13" t="n">
        <v>26.8</v>
      </c>
      <c r="N10" s="10" t="n">
        <v>214</v>
      </c>
      <c r="O10" s="10" t="n">
        <v>92600</v>
      </c>
    </row>
    <row r="11" customFormat="false" ht="15" hidden="false" customHeight="false" outlineLevel="0" collapsed="false">
      <c r="A11" s="16" t="s">
        <v>189</v>
      </c>
      <c r="B11" s="17" t="n">
        <f aca="false">ROUND(AVERAGE(B5:B10),2)</f>
        <v>161.15</v>
      </c>
      <c r="C11" s="18" t="n">
        <f aca="false">ROUND(AVERAGE(C5:C10),2)</f>
        <v>3699</v>
      </c>
      <c r="D11" s="19" t="n">
        <f aca="false">ROUND(AVERAGE(D5:D10),2)</f>
        <v>98.65</v>
      </c>
      <c r="E11" s="19" t="n">
        <f aca="false">ROUND(AVERAGE(E5:E10),2)</f>
        <v>88.22</v>
      </c>
      <c r="F11" s="19" t="n">
        <f aca="false">ROUND(AVERAGE(F5:F10),2)</f>
        <v>99.08</v>
      </c>
      <c r="G11" s="18" t="n">
        <f aca="false">ROUND(AVERAGE(G5:G10),2)</f>
        <v>2611.67</v>
      </c>
      <c r="H11" s="19" t="n">
        <f aca="false">ROUND(AVERAGE(H5:H10),2)</f>
        <v>97.48</v>
      </c>
      <c r="I11" s="19" t="n">
        <f aca="false">ROUND(AVERAGE(I5:I10),2)</f>
        <v>3.28</v>
      </c>
      <c r="J11" s="18" t="n">
        <f aca="false">ROUND(AVERAGE(J5:J10),2)</f>
        <v>109</v>
      </c>
      <c r="K11" s="20" t="n">
        <f aca="false">ROUND(AVERAGE(K5:K10),2)</f>
        <v>64.67</v>
      </c>
      <c r="L11" s="18" t="n">
        <f aca="false">ROUND(AVERAGE(L5:L10),2)</f>
        <v>566.83</v>
      </c>
      <c r="M11" s="19" t="n">
        <f aca="false">ROUND(AVERAGE(M5:M10),2)</f>
        <v>11.27</v>
      </c>
      <c r="N11" s="18" t="n">
        <f aca="false">ROUND(AVERAGE(N5:N10),2)</f>
        <v>145</v>
      </c>
      <c r="O11" s="18" t="n">
        <f aca="false">ROUND(AVERAGE(O5:O10),2)</f>
        <v>43666.67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6" min="3" style="0" width="12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40"/>
    <col collapsed="false" customWidth="true" hidden="false" outlineLevel="0" max="11" min="11" style="0" width="15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" t="s">
        <v>192</v>
      </c>
      <c r="B4" s="3" t="s">
        <v>6</v>
      </c>
      <c r="C4" s="3" t="s">
        <v>5</v>
      </c>
      <c r="D4" s="3" t="s">
        <v>193</v>
      </c>
      <c r="E4" s="3" t="s">
        <v>194</v>
      </c>
      <c r="F4" s="3" t="s">
        <v>195</v>
      </c>
      <c r="G4" s="3" t="s">
        <v>196</v>
      </c>
      <c r="H4" s="3" t="s">
        <v>197</v>
      </c>
      <c r="I4" s="3" t="s">
        <v>198</v>
      </c>
      <c r="J4" s="3" t="s">
        <v>199</v>
      </c>
      <c r="K4" s="3" t="s">
        <v>200</v>
      </c>
      <c r="L4" s="3" t="s">
        <v>9</v>
      </c>
    </row>
    <row r="5" customFormat="false" ht="15" hidden="false" customHeight="false" outlineLevel="0" collapsed="false">
      <c r="A5" s="5" t="n">
        <v>46280</v>
      </c>
      <c r="B5" s="4" t="s">
        <v>18</v>
      </c>
      <c r="C5" s="4" t="s">
        <v>17</v>
      </c>
      <c r="D5" s="6" t="n">
        <v>412600</v>
      </c>
      <c r="E5" s="6" t="n">
        <v>412480</v>
      </c>
      <c r="F5" s="6" t="n">
        <v>412530</v>
      </c>
      <c r="G5" s="6" t="n">
        <f aca="false">D5-F5</f>
        <v>70</v>
      </c>
      <c r="H5" s="12" t="n">
        <v>1.8</v>
      </c>
      <c r="I5" s="7" t="n">
        <v>12</v>
      </c>
      <c r="J5" s="4" t="s">
        <v>201</v>
      </c>
      <c r="K5" s="4" t="s">
        <v>202</v>
      </c>
      <c r="L5" s="4" t="s">
        <v>203</v>
      </c>
    </row>
    <row r="6" customFormat="false" ht="15" hidden="false" customHeight="false" outlineLevel="0" collapsed="false">
      <c r="A6" s="9" t="n">
        <v>46280</v>
      </c>
      <c r="B6" s="8" t="s">
        <v>33</v>
      </c>
      <c r="C6" s="8" t="s">
        <v>32</v>
      </c>
      <c r="D6" s="10" t="n">
        <v>58400</v>
      </c>
      <c r="E6" s="10" t="n">
        <v>58310</v>
      </c>
      <c r="F6" s="10" t="n">
        <v>58322</v>
      </c>
      <c r="G6" s="10" t="n">
        <f aca="false">D6-F6</f>
        <v>78</v>
      </c>
      <c r="H6" s="13" t="n">
        <v>6.4</v>
      </c>
      <c r="I6" s="11" t="n">
        <v>21</v>
      </c>
      <c r="J6" s="8" t="s">
        <v>204</v>
      </c>
      <c r="K6" s="8" t="s">
        <v>205</v>
      </c>
      <c r="L6" s="8" t="s">
        <v>203</v>
      </c>
    </row>
    <row r="7" customFormat="false" ht="15" hidden="false" customHeight="false" outlineLevel="0" collapsed="false">
      <c r="A7" s="5" t="n">
        <v>46280</v>
      </c>
      <c r="B7" s="4" t="s">
        <v>26</v>
      </c>
      <c r="C7" s="4" t="s">
        <v>25</v>
      </c>
      <c r="D7" s="6" t="n">
        <v>226900</v>
      </c>
      <c r="E7" s="6" t="n">
        <v>226900</v>
      </c>
      <c r="F7" s="6" t="n">
        <v>226876</v>
      </c>
      <c r="G7" s="6" t="n">
        <f aca="false">D7-F7</f>
        <v>24</v>
      </c>
      <c r="H7" s="12" t="n">
        <v>1.1</v>
      </c>
      <c r="I7" s="7" t="n">
        <v>4</v>
      </c>
      <c r="J7" s="4" t="s">
        <v>206</v>
      </c>
      <c r="K7" s="4" t="s">
        <v>207</v>
      </c>
      <c r="L7" s="4" t="s">
        <v>203</v>
      </c>
    </row>
    <row r="8" customFormat="false" ht="15" hidden="false" customHeight="false" outlineLevel="0" collapsed="false">
      <c r="A8" s="9" t="n">
        <v>46280</v>
      </c>
      <c r="B8" s="8" t="s">
        <v>61</v>
      </c>
      <c r="C8" s="8" t="s">
        <v>60</v>
      </c>
      <c r="D8" s="10" t="n">
        <v>31200</v>
      </c>
      <c r="E8" s="10" t="n">
        <v>31190</v>
      </c>
      <c r="F8" s="10" t="n">
        <v>31186</v>
      </c>
      <c r="G8" s="10" t="n">
        <f aca="false">D8-F8</f>
        <v>14</v>
      </c>
      <c r="H8" s="13" t="n">
        <v>0.3</v>
      </c>
      <c r="I8" s="11" t="n">
        <v>2</v>
      </c>
      <c r="J8" s="8" t="s">
        <v>208</v>
      </c>
      <c r="K8" s="8" t="s">
        <v>209</v>
      </c>
      <c r="L8" s="8" t="s">
        <v>203</v>
      </c>
    </row>
    <row r="9" customFormat="false" ht="15" hidden="false" customHeight="false" outlineLevel="0" collapsed="false">
      <c r="A9" s="5" t="n">
        <v>46280</v>
      </c>
      <c r="B9" s="4" t="s">
        <v>43</v>
      </c>
      <c r="C9" s="4" t="s">
        <v>42</v>
      </c>
      <c r="D9" s="6" t="n">
        <v>18700</v>
      </c>
      <c r="E9" s="6" t="n">
        <v>18690</v>
      </c>
      <c r="F9" s="6" t="n">
        <v>18679</v>
      </c>
      <c r="G9" s="6" t="n">
        <f aca="false">D9-F9</f>
        <v>21</v>
      </c>
      <c r="H9" s="12" t="n">
        <v>0.9</v>
      </c>
      <c r="I9" s="7" t="n">
        <v>6</v>
      </c>
      <c r="J9" s="4" t="s">
        <v>210</v>
      </c>
      <c r="K9" s="4" t="s">
        <v>209</v>
      </c>
      <c r="L9" s="4" t="s">
        <v>203</v>
      </c>
    </row>
    <row r="10" customFormat="false" ht="15" hidden="false" customHeight="false" outlineLevel="0" collapsed="false">
      <c r="A10" s="9" t="n">
        <v>46295</v>
      </c>
      <c r="B10" s="8" t="s">
        <v>18</v>
      </c>
      <c r="C10" s="8" t="s">
        <v>17</v>
      </c>
      <c r="D10" s="10" t="n">
        <v>498300</v>
      </c>
      <c r="E10" s="10" t="n">
        <v>497650</v>
      </c>
      <c r="F10" s="10" t="n">
        <v>497718</v>
      </c>
      <c r="G10" s="10" t="n">
        <f aca="false">D10-F10</f>
        <v>582</v>
      </c>
      <c r="H10" s="13" t="n">
        <v>14.6</v>
      </c>
      <c r="I10" s="11" t="n">
        <v>96</v>
      </c>
      <c r="J10" s="8" t="s">
        <v>211</v>
      </c>
      <c r="K10" s="8" t="s">
        <v>202</v>
      </c>
      <c r="L10" s="8" t="s">
        <v>212</v>
      </c>
    </row>
    <row r="11" customFormat="false" ht="15" hidden="false" customHeight="false" outlineLevel="0" collapsed="false">
      <c r="A11" s="5" t="n">
        <v>46295</v>
      </c>
      <c r="B11" s="4" t="s">
        <v>33</v>
      </c>
      <c r="C11" s="4" t="s">
        <v>32</v>
      </c>
      <c r="D11" s="6" t="n">
        <v>74100</v>
      </c>
      <c r="E11" s="6" t="n">
        <v>73920</v>
      </c>
      <c r="F11" s="6" t="n">
        <v>73949</v>
      </c>
      <c r="G11" s="6" t="n">
        <f aca="false">D11-F11</f>
        <v>151</v>
      </c>
      <c r="H11" s="12" t="n">
        <v>9.8</v>
      </c>
      <c r="I11" s="7" t="n">
        <v>42</v>
      </c>
      <c r="J11" s="4" t="s">
        <v>204</v>
      </c>
      <c r="K11" s="4" t="s">
        <v>205</v>
      </c>
      <c r="L11" s="4" t="s">
        <v>38</v>
      </c>
    </row>
    <row r="12" customFormat="false" ht="15" hidden="false" customHeight="false" outlineLevel="0" collapsed="false">
      <c r="A12" s="9" t="n">
        <v>46295</v>
      </c>
      <c r="B12" s="8" t="s">
        <v>26</v>
      </c>
      <c r="C12" s="8" t="s">
        <v>25</v>
      </c>
      <c r="D12" s="10" t="n">
        <v>231400</v>
      </c>
      <c r="E12" s="10" t="n">
        <v>231400</v>
      </c>
      <c r="F12" s="10" t="n">
        <v>231372</v>
      </c>
      <c r="G12" s="10" t="n">
        <f aca="false">D12-F12</f>
        <v>28</v>
      </c>
      <c r="H12" s="13" t="n">
        <v>1.3</v>
      </c>
      <c r="I12" s="11" t="n">
        <v>5</v>
      </c>
      <c r="J12" s="8" t="s">
        <v>206</v>
      </c>
      <c r="K12" s="8" t="s">
        <v>207</v>
      </c>
      <c r="L12" s="8" t="s">
        <v>38</v>
      </c>
    </row>
    <row r="13" customFormat="false" ht="15" hidden="false" customHeight="false" outlineLevel="0" collapsed="false">
      <c r="A13" s="5" t="n">
        <v>46295</v>
      </c>
      <c r="B13" s="4" t="s">
        <v>61</v>
      </c>
      <c r="C13" s="4" t="s">
        <v>60</v>
      </c>
      <c r="D13" s="6" t="n">
        <v>38900</v>
      </c>
      <c r="E13" s="6" t="n">
        <v>38880</v>
      </c>
      <c r="F13" s="6" t="n">
        <v>38874</v>
      </c>
      <c r="G13" s="6" t="n">
        <f aca="false">D13-F13</f>
        <v>26</v>
      </c>
      <c r="H13" s="12" t="n">
        <v>0.4</v>
      </c>
      <c r="I13" s="7" t="n">
        <v>3</v>
      </c>
      <c r="J13" s="4" t="s">
        <v>208</v>
      </c>
      <c r="K13" s="4" t="s">
        <v>209</v>
      </c>
      <c r="L13" s="4" t="s">
        <v>38</v>
      </c>
    </row>
    <row r="14" customFormat="false" ht="15" hidden="false" customHeight="false" outlineLevel="0" collapsed="false">
      <c r="A14" s="9" t="n">
        <v>46295</v>
      </c>
      <c r="B14" s="8" t="s">
        <v>43</v>
      </c>
      <c r="C14" s="8" t="s">
        <v>42</v>
      </c>
      <c r="D14" s="10" t="n">
        <v>21300</v>
      </c>
      <c r="E14" s="10" t="n">
        <v>21290</v>
      </c>
      <c r="F14" s="10" t="n">
        <v>21283</v>
      </c>
      <c r="G14" s="10" t="n">
        <f aca="false">D14-F14</f>
        <v>17</v>
      </c>
      <c r="H14" s="13" t="n">
        <v>0.7</v>
      </c>
      <c r="I14" s="11" t="n">
        <v>4</v>
      </c>
      <c r="J14" s="8" t="s">
        <v>210</v>
      </c>
      <c r="K14" s="8" t="s">
        <v>209</v>
      </c>
      <c r="L14" s="8" t="s">
        <v>38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3"/>
  </cols>
  <sheetData>
    <row r="1" customFormat="false" ht="27.75" hidden="false" customHeight="true" outlineLevel="0" collapsed="false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" t="s">
        <v>215</v>
      </c>
      <c r="B4" s="3" t="s">
        <v>216</v>
      </c>
      <c r="C4" s="3" t="s">
        <v>4</v>
      </c>
      <c r="D4" s="3" t="s">
        <v>217</v>
      </c>
      <c r="E4" s="3" t="s">
        <v>7</v>
      </c>
      <c r="F4" s="3" t="s">
        <v>218</v>
      </c>
      <c r="G4" s="3" t="s">
        <v>219</v>
      </c>
      <c r="H4" s="3" t="s">
        <v>220</v>
      </c>
      <c r="I4" s="3" t="s">
        <v>221</v>
      </c>
      <c r="J4" s="3" t="s">
        <v>222</v>
      </c>
      <c r="K4" s="3" t="s">
        <v>223</v>
      </c>
      <c r="L4" s="3" t="s">
        <v>200</v>
      </c>
    </row>
    <row r="5" customFormat="false" ht="15" hidden="false" customHeight="false" outlineLevel="0" collapsed="false">
      <c r="A5" s="4" t="s">
        <v>224</v>
      </c>
      <c r="B5" s="4" t="s">
        <v>225</v>
      </c>
      <c r="C5" s="4" t="s">
        <v>85</v>
      </c>
      <c r="D5" s="5" t="n">
        <v>46282</v>
      </c>
      <c r="E5" s="6" t="n">
        <v>42999</v>
      </c>
      <c r="F5" s="4" t="s">
        <v>226</v>
      </c>
      <c r="G5" s="5" t="n">
        <v>46270</v>
      </c>
      <c r="H5" s="5" t="n">
        <v>46299</v>
      </c>
      <c r="I5" s="7" t="n">
        <f aca="false">H5-DATE(2026,9,30)</f>
        <v>4</v>
      </c>
      <c r="J5" s="4" t="s">
        <v>227</v>
      </c>
      <c r="K5" s="4" t="s">
        <v>139</v>
      </c>
      <c r="L5" s="4" t="s">
        <v>205</v>
      </c>
    </row>
    <row r="6" customFormat="false" ht="15" hidden="false" customHeight="false" outlineLevel="0" collapsed="false">
      <c r="A6" s="8" t="s">
        <v>228</v>
      </c>
      <c r="B6" s="8" t="s">
        <v>229</v>
      </c>
      <c r="C6" s="8" t="s">
        <v>230</v>
      </c>
      <c r="D6" s="9" t="n">
        <v>46286</v>
      </c>
      <c r="E6" s="10" t="n">
        <v>18999</v>
      </c>
      <c r="F6" s="8" t="s">
        <v>231</v>
      </c>
      <c r="G6" s="9" t="n">
        <v>46273</v>
      </c>
      <c r="H6" s="9" t="n">
        <v>46297</v>
      </c>
      <c r="I6" s="11" t="n">
        <f aca="false">H6-DATE(2026,9,30)</f>
        <v>2</v>
      </c>
      <c r="J6" s="8" t="s">
        <v>232</v>
      </c>
      <c r="K6" s="8" t="s">
        <v>139</v>
      </c>
      <c r="L6" s="8" t="s">
        <v>205</v>
      </c>
    </row>
    <row r="7" customFormat="false" ht="15" hidden="false" customHeight="false" outlineLevel="0" collapsed="false">
      <c r="A7" s="4" t="s">
        <v>233</v>
      </c>
      <c r="B7" s="4" t="s">
        <v>234</v>
      </c>
      <c r="C7" s="4" t="s">
        <v>235</v>
      </c>
      <c r="D7" s="5" t="n">
        <v>46264</v>
      </c>
      <c r="E7" s="6" t="n">
        <v>24499</v>
      </c>
      <c r="F7" s="4" t="s">
        <v>236</v>
      </c>
      <c r="G7" s="5" t="n">
        <v>46266</v>
      </c>
      <c r="H7" s="5" t="n">
        <v>46296</v>
      </c>
      <c r="I7" s="7" t="n">
        <f aca="false">H7-DATE(2026,9,30)</f>
        <v>1</v>
      </c>
      <c r="J7" s="4" t="s">
        <v>227</v>
      </c>
      <c r="K7" s="4" t="s">
        <v>139</v>
      </c>
      <c r="L7" s="4" t="s">
        <v>205</v>
      </c>
    </row>
    <row r="8" customFormat="false" ht="15" hidden="false" customHeight="false" outlineLevel="0" collapsed="false">
      <c r="A8" s="8" t="s">
        <v>237</v>
      </c>
      <c r="B8" s="8" t="s">
        <v>225</v>
      </c>
      <c r="C8" s="8" t="s">
        <v>238</v>
      </c>
      <c r="D8" s="9" t="n">
        <v>46259</v>
      </c>
      <c r="E8" s="10" t="n">
        <v>9999</v>
      </c>
      <c r="F8" s="8" t="s">
        <v>239</v>
      </c>
      <c r="G8" s="9" t="n">
        <v>46263</v>
      </c>
      <c r="H8" s="9" t="n">
        <v>46293</v>
      </c>
      <c r="I8" s="11" t="n">
        <f aca="false">H8-DATE(2026,9,30)</f>
        <v>-2</v>
      </c>
      <c r="J8" s="8" t="s">
        <v>232</v>
      </c>
      <c r="K8" s="8" t="s">
        <v>240</v>
      </c>
      <c r="L8" s="8" t="s">
        <v>205</v>
      </c>
    </row>
    <row r="9" customFormat="false" ht="15" hidden="false" customHeight="false" outlineLevel="0" collapsed="false">
      <c r="A9" s="4" t="s">
        <v>241</v>
      </c>
      <c r="B9" s="4" t="s">
        <v>17</v>
      </c>
      <c r="C9" s="4" t="s">
        <v>68</v>
      </c>
      <c r="D9" s="5" t="n">
        <v>46285</v>
      </c>
      <c r="E9" s="6" t="n">
        <v>2000</v>
      </c>
      <c r="F9" s="4" t="s">
        <v>242</v>
      </c>
      <c r="G9" s="5" t="n">
        <v>46290</v>
      </c>
      <c r="H9" s="5" t="n">
        <v>46298</v>
      </c>
      <c r="I9" s="7" t="n">
        <f aca="false">H9-DATE(2026,9,30)</f>
        <v>3</v>
      </c>
      <c r="J9" s="4" t="s">
        <v>243</v>
      </c>
      <c r="K9" s="4" t="s">
        <v>139</v>
      </c>
      <c r="L9" s="4" t="s">
        <v>205</v>
      </c>
    </row>
    <row r="10" customFormat="false" ht="15" hidden="false" customHeight="false" outlineLevel="0" collapsed="false">
      <c r="A10" s="8" t="s">
        <v>244</v>
      </c>
      <c r="B10" s="8" t="s">
        <v>229</v>
      </c>
      <c r="C10" s="8" t="s">
        <v>245</v>
      </c>
      <c r="D10" s="9" t="n">
        <v>46246</v>
      </c>
      <c r="E10" s="10" t="n">
        <v>31999</v>
      </c>
      <c r="F10" s="8" t="s">
        <v>226</v>
      </c>
      <c r="G10" s="9" t="n">
        <v>46254</v>
      </c>
      <c r="H10" s="9" t="n">
        <v>46284</v>
      </c>
      <c r="I10" s="11" t="n">
        <f aca="false">H10-DATE(2026,9,30)</f>
        <v>-11</v>
      </c>
      <c r="J10" s="8" t="s">
        <v>232</v>
      </c>
      <c r="K10" s="8" t="s">
        <v>246</v>
      </c>
      <c r="L10" s="8" t="s">
        <v>205</v>
      </c>
    </row>
    <row r="11" customFormat="false" ht="15" hidden="false" customHeight="false" outlineLevel="0" collapsed="false">
      <c r="A11" s="4" t="s">
        <v>247</v>
      </c>
      <c r="B11" s="4" t="s">
        <v>234</v>
      </c>
      <c r="C11" s="4" t="s">
        <v>248</v>
      </c>
      <c r="D11" s="5" t="n">
        <v>46267</v>
      </c>
      <c r="E11" s="6" t="n">
        <v>15499</v>
      </c>
      <c r="F11" s="4" t="s">
        <v>249</v>
      </c>
      <c r="G11" s="5" t="n">
        <v>46275</v>
      </c>
      <c r="H11" s="5" t="n">
        <v>46304</v>
      </c>
      <c r="I11" s="7" t="n">
        <f aca="false">H11-DATE(2026,9,30)</f>
        <v>9</v>
      </c>
      <c r="J11" s="4" t="s">
        <v>243</v>
      </c>
      <c r="K11" s="4" t="s">
        <v>139</v>
      </c>
      <c r="L11" s="4" t="s">
        <v>205</v>
      </c>
    </row>
    <row r="12" customFormat="false" ht="15" hidden="false" customHeight="false" outlineLevel="0" collapsed="false">
      <c r="A12" s="8" t="s">
        <v>250</v>
      </c>
      <c r="B12" s="8" t="s">
        <v>225</v>
      </c>
      <c r="C12" s="8" t="s">
        <v>251</v>
      </c>
      <c r="D12" s="9" t="n">
        <v>46249</v>
      </c>
      <c r="E12" s="10" t="n">
        <v>12499</v>
      </c>
      <c r="F12" s="8" t="s">
        <v>231</v>
      </c>
      <c r="G12" s="9" t="n">
        <v>46256</v>
      </c>
      <c r="H12" s="9" t="n">
        <v>46286</v>
      </c>
      <c r="I12" s="11" t="n">
        <f aca="false">H12-DATE(2026,9,30)</f>
        <v>-9</v>
      </c>
      <c r="J12" s="8" t="s">
        <v>232</v>
      </c>
      <c r="K12" s="8" t="s">
        <v>240</v>
      </c>
      <c r="L12" s="8" t="s">
        <v>205</v>
      </c>
    </row>
    <row r="13" customFormat="false" ht="15" hidden="false" customHeight="false" outlineLevel="0" collapsed="false">
      <c r="A13" s="4" t="s">
        <v>252</v>
      </c>
      <c r="B13" s="4" t="s">
        <v>17</v>
      </c>
      <c r="C13" s="4" t="s">
        <v>253</v>
      </c>
      <c r="D13" s="5" t="n">
        <v>46279</v>
      </c>
      <c r="E13" s="6" t="n">
        <v>3500</v>
      </c>
      <c r="F13" s="4" t="s">
        <v>242</v>
      </c>
      <c r="G13" s="5" t="n">
        <v>46283</v>
      </c>
      <c r="H13" s="5" t="n">
        <v>46291</v>
      </c>
      <c r="I13" s="7" t="n">
        <f aca="false">H13-DATE(2026,9,30)</f>
        <v>-4</v>
      </c>
      <c r="J13" s="4" t="s">
        <v>227</v>
      </c>
      <c r="K13" s="4" t="s">
        <v>246</v>
      </c>
      <c r="L13" s="4" t="s">
        <v>205</v>
      </c>
    </row>
    <row r="14" customFormat="false" ht="15" hidden="false" customHeight="false" outlineLevel="0" collapsed="false">
      <c r="A14" s="8" t="s">
        <v>254</v>
      </c>
      <c r="B14" s="8" t="s">
        <v>229</v>
      </c>
      <c r="C14" s="8" t="s">
        <v>255</v>
      </c>
      <c r="D14" s="9" t="n">
        <v>46271</v>
      </c>
      <c r="E14" s="10" t="n">
        <v>27999</v>
      </c>
      <c r="F14" s="8" t="s">
        <v>239</v>
      </c>
      <c r="G14" s="9" t="n">
        <v>46280</v>
      </c>
      <c r="H14" s="9" t="n">
        <v>46309</v>
      </c>
      <c r="I14" s="11" t="n">
        <f aca="false">H14-DATE(2026,9,30)</f>
        <v>14</v>
      </c>
      <c r="J14" s="8" t="s">
        <v>227</v>
      </c>
      <c r="K14" s="8" t="s">
        <v>139</v>
      </c>
      <c r="L14" s="8" t="s">
        <v>205</v>
      </c>
    </row>
    <row r="15" customFormat="false" ht="15" hidden="false" customHeight="false" outlineLevel="0" collapsed="false">
      <c r="A15" s="4" t="s">
        <v>256</v>
      </c>
      <c r="B15" s="4" t="s">
        <v>225</v>
      </c>
      <c r="C15" s="4" t="s">
        <v>257</v>
      </c>
      <c r="D15" s="5" t="n">
        <v>46262</v>
      </c>
      <c r="E15" s="6" t="n">
        <v>8999</v>
      </c>
      <c r="F15" s="4" t="s">
        <v>236</v>
      </c>
      <c r="G15" s="5" t="n">
        <v>46271</v>
      </c>
      <c r="H15" s="5" t="n">
        <v>46300</v>
      </c>
      <c r="I15" s="7" t="n">
        <f aca="false">H15-DATE(2026,9,30)</f>
        <v>5</v>
      </c>
      <c r="J15" s="4" t="s">
        <v>232</v>
      </c>
      <c r="K15" s="4" t="s">
        <v>139</v>
      </c>
      <c r="L15" s="4" t="s">
        <v>205</v>
      </c>
    </row>
    <row r="16" customFormat="false" ht="15" hidden="false" customHeight="false" outlineLevel="0" collapsed="false">
      <c r="A16" s="8" t="s">
        <v>258</v>
      </c>
      <c r="B16" s="8" t="s">
        <v>234</v>
      </c>
      <c r="C16" s="8" t="s">
        <v>259</v>
      </c>
      <c r="D16" s="9" t="n">
        <v>46254</v>
      </c>
      <c r="E16" s="10" t="n">
        <v>19999</v>
      </c>
      <c r="F16" s="8" t="s">
        <v>226</v>
      </c>
      <c r="G16" s="9" t="n">
        <v>46261</v>
      </c>
      <c r="H16" s="9" t="n">
        <v>46291</v>
      </c>
      <c r="I16" s="11" t="n">
        <f aca="false">H16-DATE(2026,9,30)</f>
        <v>-4</v>
      </c>
      <c r="J16" s="8" t="s">
        <v>232</v>
      </c>
      <c r="K16" s="8" t="s">
        <v>240</v>
      </c>
      <c r="L16" s="8" t="s">
        <v>205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3"/>
  </cols>
  <sheetData>
    <row r="1" customFormat="false" ht="27.75" hidden="false" customHeight="true" outlineLevel="0" collapsed="false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261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6</v>
      </c>
      <c r="B4" s="3" t="s">
        <v>262</v>
      </c>
      <c r="C4" s="3" t="s">
        <v>263</v>
      </c>
      <c r="D4" s="3" t="s">
        <v>264</v>
      </c>
      <c r="E4" s="3" t="s">
        <v>265</v>
      </c>
      <c r="F4" s="3" t="s">
        <v>266</v>
      </c>
      <c r="G4" s="3" t="s">
        <v>267</v>
      </c>
      <c r="H4" s="3" t="s">
        <v>268</v>
      </c>
      <c r="I4" s="3" t="s">
        <v>269</v>
      </c>
      <c r="J4" s="3" t="s">
        <v>270</v>
      </c>
      <c r="K4" s="3" t="s">
        <v>271</v>
      </c>
    </row>
    <row r="5" customFormat="false" ht="15" hidden="false" customHeight="false" outlineLevel="0" collapsed="false">
      <c r="A5" s="4" t="s">
        <v>18</v>
      </c>
      <c r="B5" s="4" t="s">
        <v>272</v>
      </c>
      <c r="C5" s="21" t="n">
        <v>99.62</v>
      </c>
      <c r="D5" s="12" t="n">
        <v>98.4</v>
      </c>
      <c r="E5" s="12" t="n">
        <v>99.4</v>
      </c>
      <c r="F5" s="7" t="n">
        <v>3</v>
      </c>
      <c r="G5" s="7" t="n">
        <v>74</v>
      </c>
      <c r="H5" s="4" t="s">
        <v>21</v>
      </c>
      <c r="I5" s="7" t="n">
        <v>2</v>
      </c>
      <c r="J5" s="4" t="s">
        <v>273</v>
      </c>
      <c r="K5" s="5" t="n">
        <v>46477</v>
      </c>
    </row>
    <row r="6" customFormat="false" ht="15" hidden="false" customHeight="false" outlineLevel="0" collapsed="false">
      <c r="A6" s="8" t="s">
        <v>33</v>
      </c>
      <c r="B6" s="8" t="s">
        <v>274</v>
      </c>
      <c r="C6" s="22" t="n">
        <v>99.94</v>
      </c>
      <c r="D6" s="13" t="n">
        <v>98.9</v>
      </c>
      <c r="E6" s="13" t="n">
        <v>97.8</v>
      </c>
      <c r="F6" s="11" t="n">
        <v>1</v>
      </c>
      <c r="G6" s="11" t="n">
        <v>18</v>
      </c>
      <c r="H6" s="8" t="s">
        <v>28</v>
      </c>
      <c r="I6" s="11" t="n">
        <v>2</v>
      </c>
      <c r="J6" s="8" t="s">
        <v>273</v>
      </c>
      <c r="K6" s="9" t="n">
        <v>46387</v>
      </c>
    </row>
    <row r="7" customFormat="false" ht="15" hidden="false" customHeight="false" outlineLevel="0" collapsed="false">
      <c r="A7" s="4" t="s">
        <v>26</v>
      </c>
      <c r="B7" s="4" t="s">
        <v>275</v>
      </c>
      <c r="C7" s="21" t="n">
        <v>99.97</v>
      </c>
      <c r="D7" s="12" t="n">
        <v>86.4</v>
      </c>
      <c r="E7" s="12" t="n">
        <v>99.6</v>
      </c>
      <c r="F7" s="7" t="n">
        <v>0</v>
      </c>
      <c r="G7" s="7" t="n">
        <v>0</v>
      </c>
      <c r="H7" s="4" t="s">
        <v>276</v>
      </c>
      <c r="I7" s="7" t="n">
        <v>0</v>
      </c>
      <c r="J7" s="4" t="s">
        <v>277</v>
      </c>
      <c r="K7" s="5" t="n">
        <v>46568</v>
      </c>
    </row>
    <row r="8" customFormat="false" ht="15" hidden="false" customHeight="false" outlineLevel="0" collapsed="false">
      <c r="A8" s="8" t="s">
        <v>61</v>
      </c>
      <c r="B8" s="8" t="s">
        <v>278</v>
      </c>
      <c r="C8" s="22" t="n">
        <v>99.91</v>
      </c>
      <c r="D8" s="13" t="n">
        <v>99.1</v>
      </c>
      <c r="E8" s="13" t="n">
        <v>99.2</v>
      </c>
      <c r="F8" s="11" t="n">
        <v>1</v>
      </c>
      <c r="G8" s="11" t="n">
        <v>12</v>
      </c>
      <c r="H8" s="8" t="s">
        <v>28</v>
      </c>
      <c r="I8" s="11" t="n">
        <v>0</v>
      </c>
      <c r="J8" s="8" t="s">
        <v>277</v>
      </c>
      <c r="K8" s="9" t="n">
        <v>46418</v>
      </c>
    </row>
    <row r="9" customFormat="false" ht="15" hidden="false" customHeight="false" outlineLevel="0" collapsed="false">
      <c r="A9" s="4" t="s">
        <v>43</v>
      </c>
      <c r="B9" s="4" t="s">
        <v>279</v>
      </c>
      <c r="C9" s="21" t="n">
        <v>99.85</v>
      </c>
      <c r="D9" s="12" t="n">
        <v>97.9</v>
      </c>
      <c r="E9" s="12" t="n">
        <v>99.1</v>
      </c>
      <c r="F9" s="7" t="n">
        <v>2</v>
      </c>
      <c r="G9" s="7" t="n">
        <v>41</v>
      </c>
      <c r="H9" s="4" t="s">
        <v>28</v>
      </c>
      <c r="I9" s="7" t="n">
        <v>1</v>
      </c>
      <c r="J9" s="4" t="s">
        <v>273</v>
      </c>
      <c r="K9" s="5" t="n">
        <v>46356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2026-10-15T16:56:33Z</dcterms:created>
  <dc:creator>openpyxl</dc:creator>
  <dc:description/>
  <dc:language>en-US</dc:language>
  <cp:lastModifiedBy/>
  <dcterms:modified xsi:type="dcterms:W3CDTF">2026-10-15T16:56:33Z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